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umma\Downloads\"/>
    </mc:Choice>
  </mc:AlternateContent>
  <xr:revisionPtr revIDLastSave="0" documentId="13_ncr:1_{F34EA6C6-BFEF-43A2-919A-65113F108E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 Details &amp; Marks" sheetId="1" r:id="rId1"/>
    <sheet name="Attenda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6" i="2" l="1"/>
  <c r="BB6" i="2"/>
  <c r="BD6" i="2" s="1"/>
  <c r="BC5" i="2"/>
  <c r="BB5" i="2"/>
  <c r="BD5" i="2" s="1"/>
  <c r="BC4" i="2"/>
  <c r="BB4" i="2"/>
  <c r="BD4" i="2" s="1"/>
  <c r="BC3" i="2"/>
  <c r="BB3" i="2"/>
  <c r="BD3" i="2" s="1"/>
  <c r="W6" i="1"/>
  <c r="X6" i="1" s="1"/>
  <c r="W5" i="1"/>
  <c r="X5" i="1" s="1"/>
  <c r="W4" i="1"/>
  <c r="X4" i="1" s="1"/>
  <c r="W3" i="1"/>
  <c r="X3" i="1" s="1"/>
</calcChain>
</file>

<file path=xl/sharedStrings.xml><?xml version="1.0" encoding="utf-8"?>
<sst xmlns="http://schemas.openxmlformats.org/spreadsheetml/2006/main" count="350" uniqueCount="131">
  <si>
    <t>G2-26 VLSI — Selected 4 Students</t>
  </si>
  <si>
    <t>Cohort</t>
  </si>
  <si>
    <t>First Name</t>
  </si>
  <si>
    <t>Last Name</t>
  </si>
  <si>
    <t>Gender</t>
  </si>
  <si>
    <t>DOB</t>
  </si>
  <si>
    <t>College</t>
  </si>
  <si>
    <t>Highest Degree</t>
  </si>
  <si>
    <t>Education Level</t>
  </si>
  <si>
    <t>Specialization</t>
  </si>
  <si>
    <t>Graduation Status / Year</t>
  </si>
  <si>
    <t>Country</t>
  </si>
  <si>
    <t>State</t>
  </si>
  <si>
    <t>City</t>
  </si>
  <si>
    <t>LinkedIn Profile</t>
  </si>
  <si>
    <t>GitHub Username</t>
  </si>
  <si>
    <t>Email</t>
  </si>
  <si>
    <t>Phone (WhatsApp)</t>
  </si>
  <si>
    <t>Admission Test /50</t>
  </si>
  <si>
    <t>Module 1 /20</t>
  </si>
  <si>
    <t>Module 2 RTL /20</t>
  </si>
  <si>
    <t>Module 3 SV &amp; UVM /15</t>
  </si>
  <si>
    <t>Module 4 DFT /10</t>
  </si>
  <si>
    <t>Total /115</t>
  </si>
  <si>
    <t>Overall %</t>
  </si>
  <si>
    <t>G2-26</t>
  </si>
  <si>
    <t>Adithyan</t>
  </si>
  <si>
    <t>Mani</t>
  </si>
  <si>
    <t>M</t>
  </si>
  <si>
    <t>Mar Baselios Christian college of engineering and technology</t>
  </si>
  <si>
    <t>B.Tech. / B.E</t>
  </si>
  <si>
    <t>UG</t>
  </si>
  <si>
    <t>Electronics &amp; Communication Engineering (ECE)</t>
  </si>
  <si>
    <t>Graduated</t>
  </si>
  <si>
    <t>Indian</t>
  </si>
  <si>
    <t>Kerala</t>
  </si>
  <si>
    <t>Kottayam</t>
  </si>
  <si>
    <t>https://www.linkedin.com/in/adithyan-mani-136305353</t>
  </si>
  <si>
    <t>adithyanmani</t>
  </si>
  <si>
    <t>adithyanmanig2.26vlsi@gmail.com</t>
  </si>
  <si>
    <t>Allapadu</t>
  </si>
  <si>
    <t>Praveena</t>
  </si>
  <si>
    <t>F</t>
  </si>
  <si>
    <t>NITK</t>
  </si>
  <si>
    <t>M.Tech. / M.E</t>
  </si>
  <si>
    <t>PG</t>
  </si>
  <si>
    <t>2nd year of Mtech</t>
  </si>
  <si>
    <t>Telangana</t>
  </si>
  <si>
    <t>Gadwal</t>
  </si>
  <si>
    <t>https://www.linkedin.com/in/praveena-allapadu-24917237a/</t>
  </si>
  <si>
    <t>Praveena887</t>
  </si>
  <si>
    <t>praveenanaidu6132@gmail.com</t>
  </si>
  <si>
    <t>Kambham</t>
  </si>
  <si>
    <t>Lohitha</t>
  </si>
  <si>
    <t>RGUKT RK -VALLEY</t>
  </si>
  <si>
    <t>4th year</t>
  </si>
  <si>
    <t>Andhra Pradesh</t>
  </si>
  <si>
    <t>Kadapa</t>
  </si>
  <si>
    <t>https://www.linkedin.com/in/kambham-lohitha-9114052b6</t>
  </si>
  <si>
    <t>Lohitha Kambham</t>
  </si>
  <si>
    <t>lohithag226vlsi@gmail.com</t>
  </si>
  <si>
    <t>Aryan</t>
  </si>
  <si>
    <t>Soni</t>
  </si>
  <si>
    <t>Barkatullah University Institute of Technology</t>
  </si>
  <si>
    <t>Madhya Pradesh</t>
  </si>
  <si>
    <t>Sagar</t>
  </si>
  <si>
    <t>https://www.linkedin.com/in/aryan-s-18b07a394</t>
  </si>
  <si>
    <t>aryansoni29</t>
  </si>
  <si>
    <t>aryansonig226vlsi@gmail.com</t>
  </si>
  <si>
    <t>G2-26 VLSI — Attendance for Selected 4 Students</t>
  </si>
  <si>
    <t>No.</t>
  </si>
  <si>
    <t>Student Name</t>
  </si>
  <si>
    <t>06-May</t>
  </si>
  <si>
    <t>08-May</t>
  </si>
  <si>
    <t>12-May</t>
  </si>
  <si>
    <t>13-May</t>
  </si>
  <si>
    <t>14-May</t>
  </si>
  <si>
    <t>18-May</t>
  </si>
  <si>
    <t>19-May</t>
  </si>
  <si>
    <t>21-May</t>
  </si>
  <si>
    <t>22-May</t>
  </si>
  <si>
    <t>25-May</t>
  </si>
  <si>
    <t>26-May</t>
  </si>
  <si>
    <t>27-May</t>
  </si>
  <si>
    <t>28-May</t>
  </si>
  <si>
    <t>29-May</t>
  </si>
  <si>
    <t>30-May</t>
  </si>
  <si>
    <t>02-Jun</t>
  </si>
  <si>
    <t>03-Jun</t>
  </si>
  <si>
    <t>24-Jun</t>
  </si>
  <si>
    <t>25-Jun</t>
  </si>
  <si>
    <t>29-Jun</t>
  </si>
  <si>
    <t>30-Jun</t>
  </si>
  <si>
    <t>01-Jul</t>
  </si>
  <si>
    <t>14-Jul</t>
  </si>
  <si>
    <t>23-Jul</t>
  </si>
  <si>
    <t>27-Jul</t>
  </si>
  <si>
    <t>28-Jul</t>
  </si>
  <si>
    <t>29-Jul</t>
  </si>
  <si>
    <t>30-Jul</t>
  </si>
  <si>
    <t>31-Jul</t>
  </si>
  <si>
    <t>01-Aug</t>
  </si>
  <si>
    <t>03-Aug</t>
  </si>
  <si>
    <t>05-Aug</t>
  </si>
  <si>
    <t>06-Aug</t>
  </si>
  <si>
    <t>10-Aug</t>
  </si>
  <si>
    <t>11-Aug</t>
  </si>
  <si>
    <t>12-Aug</t>
  </si>
  <si>
    <t>14-Aug</t>
  </si>
  <si>
    <t>15-Aug</t>
  </si>
  <si>
    <t>17-Aug</t>
  </si>
  <si>
    <t>19-Aug</t>
  </si>
  <si>
    <t>21-Aug</t>
  </si>
  <si>
    <t>26-Aug</t>
  </si>
  <si>
    <t>27-Aug</t>
  </si>
  <si>
    <t>29-Aug 3:30 to 5:30</t>
  </si>
  <si>
    <t>29-Aug 8:00 to 9:30</t>
  </si>
  <si>
    <t>30-Aug</t>
  </si>
  <si>
    <t>01-Sep</t>
  </si>
  <si>
    <t>02-Sep</t>
  </si>
  <si>
    <t>03-Sep</t>
  </si>
  <si>
    <t>04-Sep</t>
  </si>
  <si>
    <t>Present</t>
  </si>
  <si>
    <t>Absent</t>
  </si>
  <si>
    <t>Attendance %</t>
  </si>
  <si>
    <t>ADITHYAN MANI</t>
  </si>
  <si>
    <t>P</t>
  </si>
  <si>
    <t>ALLAPADU PRAVEENA</t>
  </si>
  <si>
    <t>A</t>
  </si>
  <si>
    <t>KAMBHAM LOHITHA</t>
  </si>
  <si>
    <t>ARYAN 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</si>
</sst>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 style="thin">
        <color rgb="FFB8C6D1"/>
      </left>
      <right/>
      <top style="thin">
        <color rgb="FFB8C6D1"/>
      </top>
      <bottom/>
      <diagonal/>
    </border>
    <border>
      <left/>
      <right/>
      <top style="thin">
        <color rgb="FFB8C6D1"/>
      </top>
      <bottom/>
      <diagonal/>
    </border>
    <border>
      <left/>
      <right style="thin">
        <color rgb="FFB8C6D1"/>
      </right>
      <top style="thin">
        <color rgb="FFB8C6D1"/>
      </top>
      <bottom/>
      <diagonal/>
    </border>
    <border>
      <left style="thin">
        <color rgb="FFB8C6D1"/>
      </left>
      <right/>
      <top/>
      <bottom/>
      <diagonal/>
    </border>
    <border>
      <left/>
      <right style="thin">
        <color rgb="FFB8C6D1"/>
      </right>
      <top/>
      <bottom/>
      <diagonal/>
    </border>
    <border>
      <left style="thin">
        <color rgb="FFB8C6D1"/>
      </left>
      <right/>
      <top/>
      <bottom style="thin">
        <color rgb="FFB8C6D1"/>
      </bottom>
      <diagonal/>
    </border>
    <border>
      <left/>
      <right/>
      <top/>
      <bottom style="thin">
        <color rgb="FFB8C6D1"/>
      </bottom>
      <diagonal/>
    </border>
    <border>
      <left/>
      <right style="thin">
        <color rgb="FFB8C6D1"/>
      </right>
      <top/>
      <bottom style="thin">
        <color rgb="FFB8C6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0" fontId="0" fillId="0" borderId="5" xfId="0" applyNumberFormat="1" applyBorder="1" applyAlignment="1">
      <alignment wrapText="1"/>
    </xf>
    <xf numFmtId="0" fontId="0" fillId="0" borderId="7" xfId="0" applyBorder="1" applyAlignment="1">
      <alignment wrapText="1"/>
    </xf>
    <xf numFmtId="165" fontId="0" fillId="0" borderId="7" xfId="0" applyNumberFormat="1" applyBorder="1" applyAlignment="1">
      <alignment wrapText="1"/>
    </xf>
    <xf numFmtId="2" fontId="0" fillId="0" borderId="7" xfId="0" applyNumberFormat="1" applyBorder="1" applyAlignment="1">
      <alignment wrapText="1"/>
    </xf>
    <xf numFmtId="10" fontId="0" fillId="0" borderId="8" xfId="0" applyNumberFormat="1" applyBorder="1" applyAlignment="1">
      <alignment wrapText="1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10" fontId="0" fillId="0" borderId="5" xfId="0" applyNumberFormat="1" applyBorder="1"/>
    <xf numFmtId="10" fontId="0" fillId="0" borderId="8" xfId="0" applyNumberFormat="1" applyBorder="1"/>
    <xf numFmtId="0" fontId="1" fillId="2" borderId="0" xfId="0" applyFont="1" applyFill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2"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"/>
  <sheetViews>
    <sheetView tabSelected="1" workbookViewId="0">
      <selection activeCell="K4" sqref="K4"/>
    </sheetView>
  </sheetViews>
  <sheetFormatPr defaultRowHeight="14.25"/>
  <cols>
    <col min="1" max="1" width="20" customWidth="1"/>
    <col min="2" max="2" width="24" customWidth="1"/>
    <col min="3" max="3" width="10" customWidth="1"/>
    <col min="4" max="5" width="12" customWidth="1"/>
    <col min="6" max="6" width="8" customWidth="1"/>
    <col min="7" max="7" width="12" customWidth="1"/>
    <col min="8" max="8" width="34" customWidth="1"/>
    <col min="9" max="9" width="15" customWidth="1"/>
    <col min="10" max="10" width="12" customWidth="1"/>
    <col min="11" max="11" width="28" customWidth="1"/>
    <col min="12" max="12" width="20" customWidth="1"/>
    <col min="13" max="13" width="10" customWidth="1"/>
    <col min="14" max="14" width="18" customWidth="1"/>
    <col min="15" max="15" width="14" customWidth="1"/>
    <col min="16" max="16" width="34" customWidth="1"/>
    <col min="17" max="17" width="18" customWidth="1"/>
    <col min="18" max="18" width="30" customWidth="1"/>
    <col min="19" max="19" width="18" customWidth="1"/>
    <col min="20" max="20" width="16" customWidth="1"/>
    <col min="21" max="21" width="14" customWidth="1"/>
    <col min="22" max="22" width="16" customWidth="1"/>
    <col min="23" max="23" width="20" customWidth="1"/>
    <col min="24" max="24" width="16" customWidth="1"/>
    <col min="25" max="25" width="13" customWidth="1"/>
    <col min="26" max="26" width="12" customWidth="1"/>
  </cols>
  <sheetData>
    <row r="1" spans="1:26" ht="18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4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6" t="s">
        <v>24</v>
      </c>
    </row>
    <row r="3" spans="1:26" ht="142.5">
      <c r="A3" s="1" t="s">
        <v>25</v>
      </c>
      <c r="B3" s="1" t="s">
        <v>26</v>
      </c>
      <c r="C3" s="1" t="s">
        <v>27</v>
      </c>
      <c r="D3" s="1" t="s">
        <v>28</v>
      </c>
      <c r="E3" s="2">
        <v>38449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  <c r="Q3" s="20">
        <v>6235870144</v>
      </c>
      <c r="R3" s="1">
        <v>46</v>
      </c>
      <c r="S3" s="1">
        <v>17</v>
      </c>
      <c r="T3" s="1">
        <v>18</v>
      </c>
      <c r="U3" s="1">
        <v>11.33</v>
      </c>
      <c r="V3" s="1">
        <v>8</v>
      </c>
      <c r="W3" s="3">
        <f>SUM(R3:V3)</f>
        <v>100.33</v>
      </c>
      <c r="X3" s="7">
        <f>W3/115</f>
        <v>0.87243478260869567</v>
      </c>
    </row>
    <row r="4" spans="1:26" ht="57">
      <c r="A4" s="1" t="s">
        <v>25</v>
      </c>
      <c r="B4" s="1" t="s">
        <v>40</v>
      </c>
      <c r="C4" s="1" t="s">
        <v>41</v>
      </c>
      <c r="D4" s="1" t="s">
        <v>42</v>
      </c>
      <c r="E4" s="2">
        <v>37550</v>
      </c>
      <c r="F4" s="1" t="s">
        <v>43</v>
      </c>
      <c r="G4" s="1" t="s">
        <v>44</v>
      </c>
      <c r="H4" s="1" t="s">
        <v>45</v>
      </c>
      <c r="I4" s="1" t="s">
        <v>32</v>
      </c>
      <c r="J4" s="1" t="s">
        <v>46</v>
      </c>
      <c r="K4" s="1" t="s">
        <v>34</v>
      </c>
      <c r="L4" s="1" t="s">
        <v>47</v>
      </c>
      <c r="M4" s="1" t="s">
        <v>48</v>
      </c>
      <c r="N4" s="1" t="s">
        <v>49</v>
      </c>
      <c r="O4" s="1" t="s">
        <v>50</v>
      </c>
      <c r="P4" s="1" t="s">
        <v>51</v>
      </c>
      <c r="Q4" s="20">
        <v>9347174213</v>
      </c>
      <c r="R4" s="1">
        <v>35</v>
      </c>
      <c r="S4" s="1">
        <v>16</v>
      </c>
      <c r="T4" s="1">
        <v>14</v>
      </c>
      <c r="U4" s="1">
        <v>8.33</v>
      </c>
      <c r="V4" s="1">
        <v>9</v>
      </c>
      <c r="W4" s="3">
        <f>SUM(R4:V4)</f>
        <v>82.33</v>
      </c>
      <c r="X4" s="7">
        <f>W4/115</f>
        <v>0.7159130434782609</v>
      </c>
    </row>
    <row r="5" spans="1:26" ht="57">
      <c r="A5" s="1" t="s">
        <v>25</v>
      </c>
      <c r="B5" s="1" t="s">
        <v>52</v>
      </c>
      <c r="C5" s="1" t="s">
        <v>53</v>
      </c>
      <c r="D5" s="1" t="s">
        <v>42</v>
      </c>
      <c r="E5" s="2">
        <v>38953</v>
      </c>
      <c r="F5" s="1" t="s">
        <v>54</v>
      </c>
      <c r="G5" s="1" t="s">
        <v>30</v>
      </c>
      <c r="H5" s="1" t="s">
        <v>31</v>
      </c>
      <c r="I5" s="1" t="s">
        <v>32</v>
      </c>
      <c r="J5" s="1" t="s">
        <v>55</v>
      </c>
      <c r="K5" s="1" t="s">
        <v>34</v>
      </c>
      <c r="L5" s="1" t="s">
        <v>56</v>
      </c>
      <c r="M5" s="1" t="s">
        <v>57</v>
      </c>
      <c r="N5" s="1" t="s">
        <v>58</v>
      </c>
      <c r="O5" s="1" t="s">
        <v>59</v>
      </c>
      <c r="P5" s="1" t="s">
        <v>60</v>
      </c>
      <c r="Q5" s="20">
        <v>8008464409</v>
      </c>
      <c r="R5" s="1">
        <v>40</v>
      </c>
      <c r="S5" s="1">
        <v>19</v>
      </c>
      <c r="T5" s="1">
        <v>18</v>
      </c>
      <c r="U5" s="1">
        <v>12.33</v>
      </c>
      <c r="V5" s="1">
        <v>10</v>
      </c>
      <c r="W5" s="3">
        <f>SUM(R5:V5)</f>
        <v>99.33</v>
      </c>
      <c r="X5" s="7">
        <f>W5/115</f>
        <v>0.86373913043478256</v>
      </c>
    </row>
    <row r="6" spans="1:26" ht="114">
      <c r="A6" s="8" t="s">
        <v>25</v>
      </c>
      <c r="B6" s="8" t="s">
        <v>61</v>
      </c>
      <c r="C6" s="8" t="s">
        <v>62</v>
      </c>
      <c r="D6" s="8" t="s">
        <v>28</v>
      </c>
      <c r="E6" s="9">
        <v>37285</v>
      </c>
      <c r="F6" s="8" t="s">
        <v>63</v>
      </c>
      <c r="G6" s="8" t="s">
        <v>30</v>
      </c>
      <c r="H6" s="8" t="s">
        <v>31</v>
      </c>
      <c r="I6" s="8" t="s">
        <v>32</v>
      </c>
      <c r="J6" s="8" t="s">
        <v>33</v>
      </c>
      <c r="K6" s="8" t="s">
        <v>34</v>
      </c>
      <c r="L6" s="8" t="s">
        <v>64</v>
      </c>
      <c r="M6" s="8" t="s">
        <v>65</v>
      </c>
      <c r="N6" s="8" t="s">
        <v>66</v>
      </c>
      <c r="O6" s="8" t="s">
        <v>67</v>
      </c>
      <c r="P6" s="8" t="s">
        <v>68</v>
      </c>
      <c r="Q6" s="8">
        <v>9174812702</v>
      </c>
      <c r="R6" s="8">
        <v>25</v>
      </c>
      <c r="S6" s="8">
        <v>14</v>
      </c>
      <c r="T6" s="8">
        <v>12</v>
      </c>
      <c r="U6" s="8">
        <v>6.33</v>
      </c>
      <c r="V6" s="8">
        <v>9</v>
      </c>
      <c r="W6" s="10">
        <f>SUM(R6:V6)</f>
        <v>66.33</v>
      </c>
      <c r="X6" s="11">
        <f>W6/115</f>
        <v>0.57678260869565212</v>
      </c>
    </row>
  </sheetData>
  <mergeCells count="1">
    <mergeCell ref="A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6"/>
  <sheetViews>
    <sheetView workbookViewId="0"/>
  </sheetViews>
  <sheetFormatPr defaultRowHeight="14.25"/>
  <cols>
    <col min="1" max="1" width="7" customWidth="1"/>
    <col min="2" max="2" width="24" customWidth="1"/>
    <col min="3" max="3" width="10" customWidth="1"/>
    <col min="4" max="53" width="11" customWidth="1"/>
    <col min="54" max="56" width="12" customWidth="1"/>
  </cols>
  <sheetData>
    <row r="1" spans="1:56" ht="18">
      <c r="A1" s="19" t="s">
        <v>69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</row>
    <row r="2" spans="1:56" ht="30">
      <c r="A2" s="4" t="s">
        <v>70</v>
      </c>
      <c r="B2" s="5" t="s">
        <v>71</v>
      </c>
      <c r="C2" s="5" t="s">
        <v>1</v>
      </c>
      <c r="D2" s="5" t="s">
        <v>72</v>
      </c>
      <c r="E2" s="5" t="s">
        <v>73</v>
      </c>
      <c r="F2" s="5" t="s">
        <v>74</v>
      </c>
      <c r="G2" s="5" t="s">
        <v>75</v>
      </c>
      <c r="H2" s="5" t="s">
        <v>76</v>
      </c>
      <c r="I2" s="5" t="s">
        <v>77</v>
      </c>
      <c r="J2" s="5" t="s">
        <v>78</v>
      </c>
      <c r="K2" s="5" t="s">
        <v>79</v>
      </c>
      <c r="L2" s="5" t="s">
        <v>80</v>
      </c>
      <c r="M2" s="5" t="s">
        <v>81</v>
      </c>
      <c r="N2" s="5" t="s">
        <v>82</v>
      </c>
      <c r="O2" s="5" t="s">
        <v>83</v>
      </c>
      <c r="P2" s="5" t="s">
        <v>84</v>
      </c>
      <c r="Q2" s="5" t="s">
        <v>85</v>
      </c>
      <c r="R2" s="5" t="s">
        <v>86</v>
      </c>
      <c r="S2" s="5" t="s">
        <v>87</v>
      </c>
      <c r="T2" s="5" t="s">
        <v>88</v>
      </c>
      <c r="U2" s="5" t="s">
        <v>89</v>
      </c>
      <c r="V2" s="5" t="s">
        <v>90</v>
      </c>
      <c r="W2" s="5" t="s">
        <v>91</v>
      </c>
      <c r="X2" s="5" t="s">
        <v>92</v>
      </c>
      <c r="Y2" s="5" t="s">
        <v>93</v>
      </c>
      <c r="Z2" s="5" t="s">
        <v>94</v>
      </c>
      <c r="AA2" s="5" t="s">
        <v>95</v>
      </c>
      <c r="AB2" s="5" t="s">
        <v>96</v>
      </c>
      <c r="AC2" s="5" t="s">
        <v>97</v>
      </c>
      <c r="AD2" s="5" t="s">
        <v>98</v>
      </c>
      <c r="AE2" s="5" t="s">
        <v>99</v>
      </c>
      <c r="AF2" s="5" t="s">
        <v>100</v>
      </c>
      <c r="AG2" s="5" t="s">
        <v>101</v>
      </c>
      <c r="AH2" s="5" t="s">
        <v>102</v>
      </c>
      <c r="AI2" s="5" t="s">
        <v>103</v>
      </c>
      <c r="AJ2" s="5" t="s">
        <v>104</v>
      </c>
      <c r="AK2" s="5" t="s">
        <v>105</v>
      </c>
      <c r="AL2" s="5" t="s">
        <v>106</v>
      </c>
      <c r="AM2" s="5" t="s">
        <v>107</v>
      </c>
      <c r="AN2" s="5" t="s">
        <v>108</v>
      </c>
      <c r="AO2" s="5" t="s">
        <v>109</v>
      </c>
      <c r="AP2" s="5" t="s">
        <v>110</v>
      </c>
      <c r="AQ2" s="5" t="s">
        <v>111</v>
      </c>
      <c r="AR2" s="5" t="s">
        <v>112</v>
      </c>
      <c r="AS2" s="5" t="s">
        <v>113</v>
      </c>
      <c r="AT2" s="5" t="s">
        <v>114</v>
      </c>
      <c r="AU2" s="5" t="s">
        <v>115</v>
      </c>
      <c r="AV2" s="5" t="s">
        <v>116</v>
      </c>
      <c r="AW2" s="5" t="s">
        <v>117</v>
      </c>
      <c r="AX2" s="5" t="s">
        <v>118</v>
      </c>
      <c r="AY2" s="5" t="s">
        <v>119</v>
      </c>
      <c r="AZ2" s="5" t="s">
        <v>120</v>
      </c>
      <c r="BA2" s="5" t="s">
        <v>121</v>
      </c>
      <c r="BB2" s="5" t="s">
        <v>122</v>
      </c>
      <c r="BC2" s="5" t="s">
        <v>123</v>
      </c>
      <c r="BD2" s="6" t="s">
        <v>124</v>
      </c>
    </row>
    <row r="3" spans="1:56">
      <c r="A3" s="12">
        <v>1</v>
      </c>
      <c r="B3" t="s">
        <v>125</v>
      </c>
      <c r="C3" t="s">
        <v>25</v>
      </c>
      <c r="D3" s="15" t="s">
        <v>126</v>
      </c>
      <c r="E3" s="15" t="s">
        <v>126</v>
      </c>
      <c r="F3" s="15" t="s">
        <v>126</v>
      </c>
      <c r="G3" s="15" t="s">
        <v>126</v>
      </c>
      <c r="H3" s="15" t="s">
        <v>126</v>
      </c>
      <c r="I3" s="15" t="s">
        <v>126</v>
      </c>
      <c r="J3" s="15" t="s">
        <v>126</v>
      </c>
      <c r="K3" s="15" t="s">
        <v>126</v>
      </c>
      <c r="L3" s="15" t="s">
        <v>126</v>
      </c>
      <c r="M3" s="15" t="s">
        <v>126</v>
      </c>
      <c r="N3" s="15" t="s">
        <v>126</v>
      </c>
      <c r="O3" s="15" t="s">
        <v>126</v>
      </c>
      <c r="P3" s="15" t="s">
        <v>126</v>
      </c>
      <c r="Q3" s="15" t="s">
        <v>126</v>
      </c>
      <c r="R3" s="15" t="s">
        <v>126</v>
      </c>
      <c r="S3" s="15" t="s">
        <v>126</v>
      </c>
      <c r="T3" s="15" t="s">
        <v>126</v>
      </c>
      <c r="U3" s="15" t="s">
        <v>126</v>
      </c>
      <c r="V3" s="15" t="s">
        <v>126</v>
      </c>
      <c r="W3" s="15" t="s">
        <v>126</v>
      </c>
      <c r="X3" s="15" t="s">
        <v>126</v>
      </c>
      <c r="Y3" s="15" t="s">
        <v>126</v>
      </c>
      <c r="Z3" s="15" t="s">
        <v>126</v>
      </c>
      <c r="AA3" s="15" t="s">
        <v>126</v>
      </c>
      <c r="AB3" s="15" t="s">
        <v>126</v>
      </c>
      <c r="AC3" s="15" t="s">
        <v>126</v>
      </c>
      <c r="AD3" s="15" t="s">
        <v>126</v>
      </c>
      <c r="AE3" s="15" t="s">
        <v>126</v>
      </c>
      <c r="AF3" s="15" t="s">
        <v>126</v>
      </c>
      <c r="AG3" s="15" t="s">
        <v>126</v>
      </c>
      <c r="AH3" s="15" t="s">
        <v>126</v>
      </c>
      <c r="AI3" s="15" t="s">
        <v>126</v>
      </c>
      <c r="AJ3" s="15" t="s">
        <v>126</v>
      </c>
      <c r="AK3" s="15" t="s">
        <v>126</v>
      </c>
      <c r="AL3" s="15" t="s">
        <v>126</v>
      </c>
      <c r="AM3" s="15" t="s">
        <v>126</v>
      </c>
      <c r="AN3" s="15" t="s">
        <v>126</v>
      </c>
      <c r="AO3" s="15" t="s">
        <v>126</v>
      </c>
      <c r="AP3" s="15" t="s">
        <v>126</v>
      </c>
      <c r="AQ3" s="15" t="s">
        <v>126</v>
      </c>
      <c r="AR3" s="15" t="s">
        <v>126</v>
      </c>
      <c r="AS3" s="15" t="s">
        <v>126</v>
      </c>
      <c r="AT3" s="15" t="s">
        <v>126</v>
      </c>
      <c r="AU3" s="15" t="s">
        <v>126</v>
      </c>
      <c r="AV3" s="15" t="s">
        <v>126</v>
      </c>
      <c r="AW3" s="15" t="s">
        <v>126</v>
      </c>
      <c r="AX3" s="15" t="s">
        <v>126</v>
      </c>
      <c r="AY3" s="15" t="s">
        <v>126</v>
      </c>
      <c r="AZ3" s="15" t="s">
        <v>126</v>
      </c>
      <c r="BA3" s="15" t="s">
        <v>126</v>
      </c>
      <c r="BB3">
        <f>COUNTIF(D3:BA3,"P")</f>
        <v>50</v>
      </c>
      <c r="BC3">
        <f>COUNTIF(D3:BA3,"A")</f>
        <v>0</v>
      </c>
      <c r="BD3" s="17">
        <f>BB3/(BB3+BC3)</f>
        <v>1</v>
      </c>
    </row>
    <row r="4" spans="1:56">
      <c r="A4" s="12">
        <v>2</v>
      </c>
      <c r="B4" t="s">
        <v>127</v>
      </c>
      <c r="C4" t="s">
        <v>25</v>
      </c>
      <c r="D4" s="15" t="s">
        <v>126</v>
      </c>
      <c r="E4" s="15" t="s">
        <v>126</v>
      </c>
      <c r="F4" s="15" t="s">
        <v>128</v>
      </c>
      <c r="G4" s="15" t="s">
        <v>126</v>
      </c>
      <c r="H4" s="15" t="s">
        <v>126</v>
      </c>
      <c r="I4" s="15" t="s">
        <v>126</v>
      </c>
      <c r="J4" s="15" t="s">
        <v>126</v>
      </c>
      <c r="K4" s="15" t="s">
        <v>126</v>
      </c>
      <c r="L4" s="15" t="s">
        <v>126</v>
      </c>
      <c r="M4" s="15" t="s">
        <v>126</v>
      </c>
      <c r="N4" s="15" t="s">
        <v>128</v>
      </c>
      <c r="O4" s="15" t="s">
        <v>126</v>
      </c>
      <c r="P4" s="15" t="s">
        <v>126</v>
      </c>
      <c r="Q4" s="15" t="s">
        <v>126</v>
      </c>
      <c r="R4" s="15" t="s">
        <v>128</v>
      </c>
      <c r="S4" s="15" t="s">
        <v>126</v>
      </c>
      <c r="T4" s="15" t="s">
        <v>126</v>
      </c>
      <c r="U4" s="15" t="s">
        <v>126</v>
      </c>
      <c r="V4" s="15" t="s">
        <v>126</v>
      </c>
      <c r="W4" s="15" t="s">
        <v>126</v>
      </c>
      <c r="X4" s="15" t="s">
        <v>126</v>
      </c>
      <c r="Y4" s="15" t="s">
        <v>126</v>
      </c>
      <c r="Z4" s="15" t="s">
        <v>126</v>
      </c>
      <c r="AA4" s="15" t="s">
        <v>126</v>
      </c>
      <c r="AB4" s="15" t="s">
        <v>126</v>
      </c>
      <c r="AC4" s="15" t="s">
        <v>126</v>
      </c>
      <c r="AD4" s="15" t="s">
        <v>126</v>
      </c>
      <c r="AE4" s="15" t="s">
        <v>126</v>
      </c>
      <c r="AF4" s="15" t="s">
        <v>126</v>
      </c>
      <c r="AG4" s="15" t="s">
        <v>128</v>
      </c>
      <c r="AH4" s="15" t="s">
        <v>126</v>
      </c>
      <c r="AI4" s="15" t="s">
        <v>126</v>
      </c>
      <c r="AJ4" s="15" t="s">
        <v>128</v>
      </c>
      <c r="AK4" s="15" t="s">
        <v>126</v>
      </c>
      <c r="AL4" s="15" t="s">
        <v>126</v>
      </c>
      <c r="AM4" s="15" t="s">
        <v>126</v>
      </c>
      <c r="AN4" s="15" t="s">
        <v>126</v>
      </c>
      <c r="AO4" s="15" t="s">
        <v>126</v>
      </c>
      <c r="AP4" s="15" t="s">
        <v>126</v>
      </c>
      <c r="AQ4" s="15" t="s">
        <v>128</v>
      </c>
      <c r="AR4" s="15" t="s">
        <v>126</v>
      </c>
      <c r="AS4" s="15" t="s">
        <v>126</v>
      </c>
      <c r="AT4" s="15" t="s">
        <v>126</v>
      </c>
      <c r="AU4" s="15" t="s">
        <v>126</v>
      </c>
      <c r="AV4" s="15" t="s">
        <v>126</v>
      </c>
      <c r="AW4" s="15" t="s">
        <v>128</v>
      </c>
      <c r="AX4" s="15" t="s">
        <v>126</v>
      </c>
      <c r="AY4" s="15" t="s">
        <v>126</v>
      </c>
      <c r="AZ4" s="15" t="s">
        <v>126</v>
      </c>
      <c r="BA4" s="15" t="s">
        <v>126</v>
      </c>
      <c r="BB4">
        <f>COUNTIF(D4:BA4,"P")</f>
        <v>43</v>
      </c>
      <c r="BC4">
        <f>COUNTIF(D4:BA4,"A")</f>
        <v>7</v>
      </c>
      <c r="BD4" s="17">
        <f>BB4/(BB4+BC4)</f>
        <v>0.86</v>
      </c>
    </row>
    <row r="5" spans="1:56">
      <c r="A5" s="12">
        <v>3</v>
      </c>
      <c r="B5" t="s">
        <v>129</v>
      </c>
      <c r="C5" t="s">
        <v>25</v>
      </c>
      <c r="D5" s="15" t="s">
        <v>126</v>
      </c>
      <c r="E5" s="15" t="s">
        <v>126</v>
      </c>
      <c r="F5" s="15" t="s">
        <v>126</v>
      </c>
      <c r="G5" s="15" t="s">
        <v>126</v>
      </c>
      <c r="H5" s="15" t="s">
        <v>126</v>
      </c>
      <c r="I5" s="15" t="s">
        <v>126</v>
      </c>
      <c r="J5" s="15" t="s">
        <v>126</v>
      </c>
      <c r="K5" s="15" t="s">
        <v>126</v>
      </c>
      <c r="L5" s="15" t="s">
        <v>126</v>
      </c>
      <c r="M5" s="15" t="s">
        <v>126</v>
      </c>
      <c r="N5" s="15" t="s">
        <v>126</v>
      </c>
      <c r="O5" s="15" t="s">
        <v>126</v>
      </c>
      <c r="P5" s="15" t="s">
        <v>126</v>
      </c>
      <c r="Q5" s="15" t="s">
        <v>126</v>
      </c>
      <c r="R5" s="15" t="s">
        <v>126</v>
      </c>
      <c r="S5" s="15" t="s">
        <v>126</v>
      </c>
      <c r="T5" s="15" t="s">
        <v>126</v>
      </c>
      <c r="U5" s="15" t="s">
        <v>126</v>
      </c>
      <c r="V5" s="15" t="s">
        <v>126</v>
      </c>
      <c r="W5" s="15" t="s">
        <v>126</v>
      </c>
      <c r="X5" s="15" t="s">
        <v>126</v>
      </c>
      <c r="Y5" s="15" t="s">
        <v>126</v>
      </c>
      <c r="Z5" s="15" t="s">
        <v>128</v>
      </c>
      <c r="AA5" s="15" t="s">
        <v>126</v>
      </c>
      <c r="AB5" s="15" t="s">
        <v>126</v>
      </c>
      <c r="AC5" s="15" t="s">
        <v>126</v>
      </c>
      <c r="AD5" s="15" t="s">
        <v>126</v>
      </c>
      <c r="AE5" s="15" t="s">
        <v>128</v>
      </c>
      <c r="AF5" s="15" t="s">
        <v>128</v>
      </c>
      <c r="AG5" s="15" t="s">
        <v>126</v>
      </c>
      <c r="AH5" s="15" t="s">
        <v>126</v>
      </c>
      <c r="AI5" s="15" t="s">
        <v>126</v>
      </c>
      <c r="AJ5" s="15" t="s">
        <v>126</v>
      </c>
      <c r="AK5" s="15" t="s">
        <v>126</v>
      </c>
      <c r="AL5" s="15" t="s">
        <v>126</v>
      </c>
      <c r="AM5" s="15" t="s">
        <v>126</v>
      </c>
      <c r="AN5" s="15" t="s">
        <v>126</v>
      </c>
      <c r="AO5" s="15" t="s">
        <v>126</v>
      </c>
      <c r="AP5" s="15" t="s">
        <v>126</v>
      </c>
      <c r="AQ5" s="15" t="s">
        <v>126</v>
      </c>
      <c r="AR5" s="15" t="s">
        <v>128</v>
      </c>
      <c r="AS5" s="15" t="s">
        <v>126</v>
      </c>
      <c r="AT5" s="15" t="s">
        <v>126</v>
      </c>
      <c r="AU5" s="15" t="s">
        <v>126</v>
      </c>
      <c r="AV5" s="15" t="s">
        <v>128</v>
      </c>
      <c r="AW5" s="15" t="s">
        <v>128</v>
      </c>
      <c r="AX5" s="15" t="s">
        <v>126</v>
      </c>
      <c r="AY5" s="15" t="s">
        <v>126</v>
      </c>
      <c r="AZ5" s="15" t="s">
        <v>126</v>
      </c>
      <c r="BA5" s="15" t="s">
        <v>126</v>
      </c>
      <c r="BB5">
        <f>COUNTIF(D5:BA5,"P")</f>
        <v>44</v>
      </c>
      <c r="BC5">
        <f>COUNTIF(D5:BA5,"A")</f>
        <v>6</v>
      </c>
      <c r="BD5" s="17">
        <f>BB5/(BB5+BC5)</f>
        <v>0.88</v>
      </c>
    </row>
    <row r="6" spans="1:56">
      <c r="A6" s="13">
        <v>4</v>
      </c>
      <c r="B6" s="14" t="s">
        <v>130</v>
      </c>
      <c r="C6" s="14" t="s">
        <v>25</v>
      </c>
      <c r="D6" s="16" t="s">
        <v>126</v>
      </c>
      <c r="E6" s="16" t="s">
        <v>126</v>
      </c>
      <c r="F6" s="16" t="s">
        <v>126</v>
      </c>
      <c r="G6" s="16" t="s">
        <v>126</v>
      </c>
      <c r="H6" s="16" t="s">
        <v>126</v>
      </c>
      <c r="I6" s="16" t="s">
        <v>126</v>
      </c>
      <c r="J6" s="16" t="s">
        <v>126</v>
      </c>
      <c r="K6" s="16" t="s">
        <v>126</v>
      </c>
      <c r="L6" s="16" t="s">
        <v>126</v>
      </c>
      <c r="M6" s="16" t="s">
        <v>126</v>
      </c>
      <c r="N6" s="16" t="s">
        <v>126</v>
      </c>
      <c r="O6" s="16" t="s">
        <v>126</v>
      </c>
      <c r="P6" s="16" t="s">
        <v>126</v>
      </c>
      <c r="Q6" s="16" t="s">
        <v>126</v>
      </c>
      <c r="R6" s="16" t="s">
        <v>126</v>
      </c>
      <c r="S6" s="16" t="s">
        <v>126</v>
      </c>
      <c r="T6" s="16" t="s">
        <v>126</v>
      </c>
      <c r="U6" s="16" t="s">
        <v>126</v>
      </c>
      <c r="V6" s="16" t="s">
        <v>126</v>
      </c>
      <c r="W6" s="16" t="s">
        <v>126</v>
      </c>
      <c r="X6" s="16" t="s">
        <v>126</v>
      </c>
      <c r="Y6" s="16" t="s">
        <v>126</v>
      </c>
      <c r="Z6" s="16" t="s">
        <v>126</v>
      </c>
      <c r="AA6" s="16" t="s">
        <v>126</v>
      </c>
      <c r="AB6" s="16" t="s">
        <v>126</v>
      </c>
      <c r="AC6" s="16" t="s">
        <v>126</v>
      </c>
      <c r="AD6" s="16" t="s">
        <v>126</v>
      </c>
      <c r="AE6" s="16" t="s">
        <v>126</v>
      </c>
      <c r="AF6" s="16" t="s">
        <v>126</v>
      </c>
      <c r="AG6" s="16" t="s">
        <v>126</v>
      </c>
      <c r="AH6" s="16" t="s">
        <v>126</v>
      </c>
      <c r="AI6" s="16" t="s">
        <v>126</v>
      </c>
      <c r="AJ6" s="16" t="s">
        <v>126</v>
      </c>
      <c r="AK6" s="16" t="s">
        <v>126</v>
      </c>
      <c r="AL6" s="16" t="s">
        <v>126</v>
      </c>
      <c r="AM6" s="16" t="s">
        <v>126</v>
      </c>
      <c r="AN6" s="16" t="s">
        <v>126</v>
      </c>
      <c r="AO6" s="16" t="s">
        <v>126</v>
      </c>
      <c r="AP6" s="16" t="s">
        <v>126</v>
      </c>
      <c r="AQ6" s="16" t="s">
        <v>126</v>
      </c>
      <c r="AR6" s="16" t="s">
        <v>126</v>
      </c>
      <c r="AS6" s="16" t="s">
        <v>126</v>
      </c>
      <c r="AT6" s="16" t="s">
        <v>126</v>
      </c>
      <c r="AU6" s="16" t="s">
        <v>126</v>
      </c>
      <c r="AV6" s="16" t="s">
        <v>126</v>
      </c>
      <c r="AW6" s="16" t="s">
        <v>126</v>
      </c>
      <c r="AX6" s="16" t="s">
        <v>126</v>
      </c>
      <c r="AY6" s="16" t="s">
        <v>126</v>
      </c>
      <c r="AZ6" s="16" t="s">
        <v>126</v>
      </c>
      <c r="BA6" s="16" t="s">
        <v>126</v>
      </c>
      <c r="BB6" s="14">
        <f>COUNTIF(D6:BA6,"P")</f>
        <v>50</v>
      </c>
      <c r="BC6" s="14">
        <f>COUNTIF(D6:BA6,"A")</f>
        <v>0</v>
      </c>
      <c r="BD6" s="18">
        <f>BB6/(BB6+BC6)</f>
        <v>1</v>
      </c>
    </row>
  </sheetData>
  <mergeCells count="1">
    <mergeCell ref="A1:BD1"/>
  </mergeCells>
  <conditionalFormatting sqref="D3:BA6">
    <cfRule type="expression" dxfId="1" priority="1">
      <formula>D3="P"</formula>
    </cfRule>
    <cfRule type="expression" dxfId="0" priority="2">
      <formula>D3="A"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Details &amp; Marks</vt:lpstr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tummalap10@gmail.com</cp:lastModifiedBy>
  <dcterms:modified xsi:type="dcterms:W3CDTF">2026-09-08T14:59:02Z</dcterms:modified>
</cp:coreProperties>
</file>