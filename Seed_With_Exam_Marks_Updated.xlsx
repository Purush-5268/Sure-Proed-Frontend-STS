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499c4e045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" sheetId="1" r:id="R0f966347611744fc"/>
    <x:sheet xmlns:r="http://schemas.openxmlformats.org/officeDocument/2006/relationships" name="Exam Marks" sheetId="2" r:id="Rc0a35b22d8b7400f"/>
  </x:sheets>
</x:workbook>
</file>

<file path=xl/sharedStrings.xml><?xml version="1.0" encoding="utf-8"?>
<x:sst xmlns:x="http://schemas.openxmlformats.org/spreadsheetml/2006/main">
  <x:si>
    <x:t xml:space="preserve">Cohort</x:t>
  </x:si>
  <x:si>
    <x:t xml:space="preserve">  First Name  </x:t>
  </x:si>
  <x:si>
    <x:t xml:space="preserve">Last Name</x:t>
  </x:si>
  <x:si>
    <x:t xml:space="preserve">Gender  </x:t>
  </x:si>
  <x:si>
    <x:t xml:space="preserve">DOB</x:t>
  </x:si>
  <x:si>
    <x:t xml:space="preserve">College  </x:t>
  </x:si>
  <x:si>
    <x:t xml:space="preserve">Highest Degree  </x:t>
  </x:si>
  <x:si>
    <x:t xml:space="preserve">Education level</x:t>
  </x:si>
  <x:si>
    <x:t xml:space="preserve">Specialization  </x:t>
  </x:si>
  <x:si>
    <x:t xml:space="preserve">Graduation Year  
(eg:1st year, 2nd year,3rd Year,4th Year)</x:t>
  </x:si>
  <x:si>
    <x:t xml:space="preserve">Country  </x:t>
  </x:si>
  <x:si>
    <x:t xml:space="preserve">State  </x:t>
  </x:si>
  <x:si>
    <x:t xml:space="preserve">City  </x:t>
  </x:si>
  <x:si>
    <x:t xml:space="preserve">Linked In Profile Url</x:t>
  </x:si>
  <x:si>
    <x:t xml:space="preserve">Github Username</x:t>
  </x:si>
  <x:si>
    <x:t xml:space="preserve">Email id </x:t>
  </x:si>
  <x:si>
    <x:t xml:space="preserve">Phone Number(Whatsapp)</x:t>
  </x:si>
  <x:si>
    <x:t xml:space="preserve">G2-26</x:t>
  </x:si>
  <x:si>
    <x:t xml:space="preserve">VAJJA </x:t>
  </x:si>
  <x:si>
    <x:t xml:space="preserve">UMADEVI </x:t>
  </x:si>
  <x:si>
    <x:t xml:space="preserve">F</x:t>
  </x:si>
  <x:si>
    <x:t xml:space="preserve">RGUKT Srikakulam </x:t>
  </x:si>
  <x:si>
    <x:t xml:space="preserve">B.Tech. / B.E</x:t>
  </x:si>
  <x:si>
    <x:t xml:space="preserve">UG</x:t>
  </x:si>
  <x:si>
    <x:t xml:space="preserve">Electronics &amp; Communication Engineering (ECE)</x:t>
  </x:si>
  <x:si>
    <x:t xml:space="preserve">4th year </x:t>
  </x:si>
  <x:si>
    <x:t xml:space="preserve">Indian</x:t>
  </x:si>
  <x:si>
    <x:t xml:space="preserve">Andhra Pradesh</x:t>
  </x:si>
  <x:si>
    <x:t xml:space="preserve">Srikakulam </x:t>
  </x:si>
  <x:si>
    <x:t xml:space="preserve">https://www.linkedin.com/in/umadevi-vajja-a84387350</x:t>
  </x:si>
  <x:si>
    <x:t xml:space="preserve">https://github.com/umadevivajja269-create</x:t>
  </x:si>
  <x:si>
    <x:t xml:space="preserve">umadevivajjag226vlsi@gmail.com</x:t>
  </x:si>
  <x:si>
    <x:t xml:space="preserve">MAKTHAL</x:t>
  </x:si>
  <x:si>
    <x:t xml:space="preserve">RAHUL RAO</x:t>
  </x:si>
  <x:si>
    <x:t xml:space="preserve">M</x:t>
  </x:si>
  <x:si>
    <x:t xml:space="preserve">Anurag University</x:t>
  </x:si>
  <x:si>
    <x:t xml:space="preserve">M.Tech. / M.E</x:t>
  </x:si>
  <x:si>
    <x:t xml:space="preserve">PG</x:t>
  </x:si>
  <x:si>
    <x:t xml:space="preserve">VLSI Design</x:t>
  </x:si>
  <x:si>
    <x:t xml:space="preserve">2nd year</x:t>
  </x:si>
  <x:si>
    <x:t xml:space="preserve">Telangana</x:t>
  </x:si>
  <x:si>
    <x:t xml:space="preserve">hydrabad</x:t>
  </x:si>
  <x:si>
    <x:t xml:space="preserve">https://in.linkedin.com/in/makthal-rahul-rao-65440a256</x:t>
  </x:si>
  <x:si>
    <x:t xml:space="preserve">Rahulrao-21</x:t>
  </x:si>
  <x:si>
    <x:t xml:space="preserve">makthalrahulrao21@gmail.com</x:t>
  </x:si>
  <x:si>
    <x:t xml:space="preserve">Marri</x:t>
  </x:si>
  <x:si>
    <x:t xml:space="preserve">Kruthik </x:t>
  </x:si>
  <x:si>
    <x:t xml:space="preserve">Lovely professional University </x:t>
  </x:si>
  <x:si>
    <x:t xml:space="preserve">Mulugu</x:t>
  </x:si>
  <x:si>
    <x:t xml:space="preserve">https://www.linkedin.com/in/marri-kruthik-388412328/</x:t>
  </x:si>
  <x:si>
    <x:t xml:space="preserve">https://github.com/marrikruthik</x:t>
  </x:si>
  <x:si>
    <x:t xml:space="preserve">marrivamshi071@gmail.com</x:t>
  </x:si>
  <x:si>
    <x:t xml:space="preserve">GB SAI </x:t>
  </x:si>
  <x:si>
    <x:t xml:space="preserve">CHARAN </x:t>
  </x:si>
  <x:si>
    <x:t xml:space="preserve">Osmania college of engineering </x:t>
  </x:si>
  <x:si>
    <x:t xml:space="preserve">2nd </x:t>
  </x:si>
  <x:si>
    <x:t xml:space="preserve">Hyderabad </x:t>
  </x:si>
  <x:si>
    <x:t xml:space="preserve">https://www.linkedin.com/in/gaddam-bala-sai-charan-35291513b?trk=contact-info</x:t>
  </x:si>
  <x:si>
    <x:t xml:space="preserve">Saygin83</x:t>
  </x:si>
  <x:si>
    <x:t xml:space="preserve">gbsaicharan@gmail.com</x:t>
  </x:si>
  <x:si>
    <x:t xml:space="preserve">BATTALA </x:t>
  </x:si>
  <x:si>
    <x:t xml:space="preserve">REDDY AKSHAYA </x:t>
  </x:si>
  <x:si>
    <x:t xml:space="preserve">IIIT RGUKT RK Valley </x:t>
  </x:si>
  <x:si>
    <x:t xml:space="preserve">4th Year</x:t>
  </x:si>
  <x:si>
    <x:t xml:space="preserve">Kurnool</x:t>
  </x:si>
  <x:si>
    <x:t xml:space="preserve">https://www.linkedin.com/in/battala-reddy-akshaya-788295301?utm_source=share&amp;utm_campaign=share_via&amp;utm_content=profile&amp;utm_medium=android_app</x:t>
  </x:si>
  <x:si>
    <x:t xml:space="preserve">ReddyAkshayaG226VLSI</x:t>
  </x:si>
  <x:si>
    <x:t xml:space="preserve">battalareddyakshayag226vlsi@gmail.com</x:t>
  </x:si>
  <x:si>
    <x:t xml:space="preserve">Sai Teja</x:t>
  </x:si>
  <x:si>
    <x:t xml:space="preserve">Daduvai</x:t>
  </x:si>
  <x:si>
    <x:t xml:space="preserve">University college of engineering, Osmania University.</x:t>
  </x:si>
  <x:si>
    <x:t xml:space="preserve">Hyderabad</x:t>
  </x:si>
  <x:si>
    <x:t xml:space="preserve">https://www.linkedin.com/in/daduvaisaiteja/</x:t>
  </x:si>
  <x:si>
    <x:t xml:space="preserve">daduvaisaiteja</x:t>
  </x:si>
  <x:si>
    <x:t xml:space="preserve">daduvaisaitejag226vlsi@gmail.com</x:t>
  </x:si>
  <x:si>
    <x:t xml:space="preserve">RAVINDRANATH </x:t>
  </x:si>
  <x:si>
    <x:t xml:space="preserve">KURUBA </x:t>
  </x:si>
  <x:si>
    <x:t xml:space="preserve">Rajiv Gandhi University of Knowledge and Technologies </x:t>
  </x:si>
  <x:si>
    <x:t xml:space="preserve">https://www.linkedin.com/in/kuruba-ravindranath-5963a730b?utm_source=share_via&amp;utm_content=profile&amp;utm_medium=member_android</x:t>
  </x:si>
  <x:si>
    <x:t xml:space="preserve">Ravindranath-G2-26-VLSI</x:t>
  </x:si>
  <x:si>
    <x:t xml:space="preserve">ramanji1719@gmail.com</x:t>
  </x:si>
  <x:si>
    <x:t xml:space="preserve">Jasmeen</x:t>
  </x:si>
  <x:si>
    <x:t xml:space="preserve">Kaur </x:t>
  </x:si>
  <x:si>
    <x:t xml:space="preserve">Chaitanya Bharathi institute of technology </x:t>
  </x:si>
  <x:si>
    <x:t xml:space="preserve">4th year</x:t>
  </x:si>
  <x:si>
    <x:t xml:space="preserve">https://www.linkedin.com/in/jasmeen-kaur-6aa545258?utm_source=share_via&amp;utm_content=profile&amp;utm_medium=member_ios</x:t>
  </x:si>
  <x:si>
    <x:t xml:space="preserve">-</x:t>
  </x:si>
  <x:si>
    <x:t xml:space="preserve">jasmeenkaurg226vlsi@gmail.com</x:t>
  </x:si>
  <x:si>
    <x:t xml:space="preserve">Ramya Mounika </x:t>
  </x:si>
  <x:si>
    <x:t xml:space="preserve">Aravapalli</x:t>
  </x:si>
  <x:si>
    <x:t xml:space="preserve">Prasad V Potluri Siddhartha Institute Of Technology </x:t>
  </x:si>
  <x:si>
    <x:t xml:space="preserve">Vijayawada </x:t>
  </x:si>
  <x:si>
    <x:t xml:space="preserve">https://www.linkedin.com/in/ramya-mounika-aravapalli?utm_source=share_via&amp;utm_content=profile&amp;utm_medium=member_android</x:t>
  </x:si>
  <x:si>
    <x:t xml:space="preserve">https://github.com/ramyamounika1946</x:t>
  </x:si>
  <x:si>
    <x:t xml:space="preserve">ramyaaravapalli19@gmail.com</x:t>
  </x:si>
  <x:si>
    <x:t xml:space="preserve">Sri Lakshmi </x:t>
  </x:si>
  <x:si>
    <x:t xml:space="preserve">Rapuru</x:t>
  </x:si>
  <x:si>
    <x:t xml:space="preserve">Sri padmavathi mahila Vishwavidyalaya </x:t>
  </x:si>
  <x:si>
    <x:t xml:space="preserve">Gudur </x:t>
  </x:si>
  <x:si>
    <x:t xml:space="preserve">www.linkedin.com/in/ rapurusrilakshmi</x:t>
  </x:si>
  <x:si>
    <x:t xml:space="preserve">srilakshmirapurug226vlsi-bot</x:t>
  </x:si>
  <x:si>
    <x:t xml:space="preserve">srilakshmirapuru@gmail.com</x:t>
  </x:si>
  <x:si>
    <x:t xml:space="preserve">Likitha </x:t>
  </x:si>
  <x:si>
    <x:t xml:space="preserve">Padige </x:t>
  </x:si>
  <x:si>
    <x:t xml:space="preserve">Delhi Technological University,Delhi</x:t>
  </x:si>
  <x:si>
    <x:t xml:space="preserve">1st Year </x:t>
  </x:si>
  <x:si>
    <x:t xml:space="preserve">https://www.linkedin.com/in/likitha-padige</x:t>
  </x:si>
  <x:si>
    <x:t xml:space="preserve">Padige-Likitha</x:t>
  </x:si>
  <x:si>
    <x:t xml:space="preserve">likitha.g2.26.vlsi@gmail.com</x:t>
  </x:si>
  <x:si>
    <x:t xml:space="preserve">Yepuganti </x:t>
  </x:si>
  <x:si>
    <x:t xml:space="preserve">Anji Babu </x:t>
  </x:si>
  <x:si>
    <x:t xml:space="preserve">Pes University </x:t>
  </x:si>
  <x:si>
    <x:t xml:space="preserve">2nd year </x:t>
  </x:si>
  <x:si>
    <x:t xml:space="preserve">Bhimavaram </x:t>
  </x:si>
  <x:si>
    <x:t xml:space="preserve">https://www.linkedin.com/in/yepuganti-anji/</x:t>
  </x:si>
  <x:si>
    <x:t xml:space="preserve">Anjicherry123</x:t>
  </x:si>
  <x:si>
    <x:t xml:space="preserve">yepugantianji@gmail.com</x:t>
  </x:si>
  <x:si>
    <x:t xml:space="preserve">THUPAKULA GOWTHAM </x:t>
  </x:si>
  <x:si>
    <x:t xml:space="preserve">KUMAR</x:t>
  </x:si>
  <x:si>
    <x:t xml:space="preserve">Rajiv gandhi university of knowledge technologies rk valley</x:t>
  </x:si>
  <x:si>
    <x:t xml:space="preserve">Kadala</x:t>
  </x:si>
  <x:si>
    <x:t xml:space="preserve">https://www.linkedin.com/in/thupakula-gowtham-kumar-817aaa348?utm_source=share_via&amp;utm_content=profile&amp;utm_medium=member_android</x:t>
  </x:si>
  <x:si>
    <x:t xml:space="preserve">gowtham1234</x:t>
  </x:si>
  <x:si>
    <x:t xml:space="preserve">gowthamthupaakula9550@gmail.com</x:t>
  </x:si>
  <x:si>
    <x:t xml:space="preserve">Shravana</x:t>
  </x:si>
  <x:si>
    <x:t xml:space="preserve">H S</x:t>
  </x:si>
  <x:si>
    <x:t xml:space="preserve">Dayananda Sagar Academy of Technology and Management, Bengaluru.</x:t>
  </x:si>
  <x:si>
    <x:t xml:space="preserve">Karnataka</x:t>
  </x:si>
  <x:si>
    <x:t xml:space="preserve">Bangalore</x:t>
  </x:si>
  <x:si>
    <x:t xml:space="preserve">https://www.linkedin.com/in/shravana-h-s/</x:t>
  </x:si>
  <x:si>
    <x:t xml:space="preserve">ShravanaHS</x:t>
  </x:si>
  <x:si>
    <x:t xml:space="preserve">shravanahs97@gmail.com</x:t>
  </x:si>
  <x:si>
    <x:t xml:space="preserve">Manideep </x:t>
  </x:si>
  <x:si>
    <x:t xml:space="preserve">Emmadi </x:t>
  </x:si>
  <x:si>
    <x:t xml:space="preserve">Methodist College of engineering and technology </x:t>
  </x:si>
  <x:si>
    <x:t xml:space="preserve">4th</x:t>
  </x:si>
  <x:si>
    <x:t xml:space="preserve">https://www.linkedin.com/in/mani-emmadi-068b69276/</x:t>
  </x:si>
  <x:si>
    <x:t xml:space="preserve">Maniemmadi </x:t>
  </x:si>
  <x:si>
    <x:t xml:space="preserve">emmadimani786@gmail.com</x:t>
  </x:si>
  <x:si>
    <x:t xml:space="preserve">VENKATA PRANAY </x:t>
  </x:si>
  <x:si>
    <x:t xml:space="preserve">CHIMALADINNE </x:t>
  </x:si>
  <x:si>
    <x:t xml:space="preserve">Rajiv Gandhi University of Knowledge and Technologies, RK-VALLEY </x:t>
  </x:si>
  <x:si>
    <x:t xml:space="preserve">Nellore </x:t>
  </x:si>
  <x:si>
    <x:t xml:space="preserve">linkedin.com/in/venkatapranay</x:t>
  </x:si>
  <x:si>
    <x:t xml:space="preserve">VenkataPranayG2-26VLSI</x:t>
  </x:si>
  <x:si>
    <x:t xml:space="preserve">vetriram539@gmail.com</x:t>
  </x:si>
  <x:si>
    <x:t xml:space="preserve">HIMANSHU</x:t>
  </x:si>
  <x:si>
    <x:t xml:space="preserve">PAL</x:t>
  </x:si>
  <x:si>
    <x:t xml:space="preserve">LPU</x:t>
  </x:si>
  <x:si>
    <x:t xml:space="preserve">2nd</x:t>
  </x:si>
  <x:si>
    <x:t xml:space="preserve">Punjab</x:t>
  </x:si>
  <x:si>
    <x:t xml:space="preserve">Jalandhar</x:t>
  </x:si>
  <x:si>
    <x:t xml:space="preserve">https://www.linkedin.com/in/himanshu-pal-587648203</x:t>
  </x:si>
  <x:si>
    <x:t xml:space="preserve">Himanshu-VLSI</x:t>
  </x:si>
  <x:si>
    <x:t xml:space="preserve">himanshupal66y@gmail.com</x:t>
  </x:si>
  <x:si>
    <x:t xml:space="preserve">Sudheer Babu</x:t>
  </x:si>
  <x:si>
    <x:t xml:space="preserve">Karanki</x:t>
  </x:si>
  <x:si>
    <x:t xml:space="preserve">Krishna University College of Engineering and Technology</x:t>
  </x:si>
  <x:si>
    <x:t xml:space="preserve">4th Year, 2026 </x:t>
  </x:si>
  <x:si>
    <x:t xml:space="preserve">Bapatla</x:t>
  </x:si>
  <x:si>
    <x:t xml:space="preserve">https://www.linkedin.com/in/karanki-sudheer-babu-7b6992208</x:t>
  </x:si>
  <x:si>
    <x:t xml:space="preserve">karankisudheer1993</x:t>
  </x:si>
  <x:si>
    <x:t xml:space="preserve">karankisudheer1993@gmail.com</x:t>
  </x:si>
  <x:si>
    <x:t xml:space="preserve">Divya</x:t>
  </x:si>
  <x:si>
    <x:t xml:space="preserve">Boya</x:t>
  </x:si>
  <x:si>
    <x:t xml:space="preserve">Rajiv Gandhi University of Knowledge and Technologies, IIIT, RK Valley</x:t>
  </x:si>
  <x:si>
    <x:t xml:space="preserve">Hindupur</x:t>
  </x:si>
  <x:si>
    <x:t xml:space="preserve">LinkedIn.com/in/boya-divya-53b</x:t>
  </x:si>
  <x:si>
    <x:t xml:space="preserve">github.com/divyab6130</x:t>
  </x:si>
  <x:si>
    <x:t xml:space="preserve">divya53b@gmail.com</x:t>
  </x:si>
  <x:si>
    <x:t xml:space="preserve">Dedeepya </x:t>
  </x:si>
  <x:si>
    <x:t xml:space="preserve">Narayanasetty </x:t>
  </x:si>
  <x:si>
    <x:t xml:space="preserve">Raghu Engineering College </x:t>
  </x:si>
  <x:si>
    <x:t xml:space="preserve">Completed</x:t>
  </x:si>
  <x:si>
    <x:t xml:space="preserve">https://www.linkedin.com/in/narayanasetty-dedeepya-0a901a322</x:t>
  </x:si>
  <x:si>
    <x:t xml:space="preserve">https://github.com/ndedeepyag226integratedvlsi</x:t>
  </x:si>
  <x:si>
    <x:t xml:space="preserve">ndedeepya.g2.26.integratedvlsi@gmail.com</x:t>
  </x:si>
  <x:si>
    <x:t xml:space="preserve">M.Penchala </x:t>
  </x:si>
  <x:si>
    <x:t xml:space="preserve">Likhitha </x:t>
  </x:si>
  <x:si>
    <x:t xml:space="preserve">RGUKT Rk valley </x:t>
  </x:si>
  <x:si>
    <x:t xml:space="preserve">https://www.linkedin.com/in/likhithamathakala?utm_source=share_via&amp;utm_content=profile&amp;utm_medium=member_android</x:t>
  </x:si>
  <x:si>
    <x:t xml:space="preserve">MATHAKALA PENCHALA LIKHITHA G2-26 VLSI </x:t>
  </x:si>
  <x:si>
    <x:t xml:space="preserve">likhithamathakala@gmail.com</x:t>
  </x:si>
  <x:si>
    <x:t xml:space="preserve">NAVYA SREE</x:t>
  </x:si>
  <x:si>
    <x:t xml:space="preserve">NADIMINTI </x:t>
  </x:si>
  <x:si>
    <x:t xml:space="preserve">Rajiv Gandhi University of knowledge technologies Rkvalley,kadapa</x:t>
  </x:si>
  <x:si>
    <x:t xml:space="preserve">Kadapa</x:t>
  </x:si>
  <x:si>
    <x:t xml:space="preserve">https://www.linkedin.com/in/navya-sree-nadiminti</x:t>
  </x:si>
  <x:si>
    <x:t xml:space="preserve">N-Navya-Sree</x:t>
  </x:si>
  <x:si>
    <x:t xml:space="preserve">navyasreeg226vlsi@gmail.com</x:t>
  </x:si>
  <x:si>
    <x:t xml:space="preserve">Rekha</x:t>
  </x:si>
  <x:si>
    <x:t xml:space="preserve">Mallu</x:t>
  </x:si>
  <x:si>
    <x:t xml:space="preserve">Rajiv Gandhi University of Knowledge Technologies , R K Valley</x:t>
  </x:si>
  <x:si>
    <x:t xml:space="preserve">Nellore</x:t>
  </x:si>
  <x:si>
    <x:t xml:space="preserve">www.linkedin.com/in/rekha-mallu-04b4a5321</x:t>
  </x:si>
  <x:si>
    <x:t xml:space="preserve">rekhamallu009-afk</x:t>
  </x:si>
  <x:si>
    <x:t xml:space="preserve">mrekha.g2.26.vlsi@gmail.com</x:t>
  </x:si>
  <x:si>
    <x:t xml:space="preserve">Chandra</x:t>
  </x:si>
  <x:si>
    <x:t xml:space="preserve">Prasad</x:t>
  </x:si>
  <x:si>
    <x:t xml:space="preserve">NIT Durgapur</x:t>
  </x:si>
  <x:si>
    <x:t xml:space="preserve">1st year</x:t>
  </x:si>
  <x:si>
    <x:t xml:space="preserve">https://www.linkedin.com/in/chandra-prasad-bamini-64826723b/</x:t>
  </x:si>
  <x:si>
    <x:t xml:space="preserve">https://github.com/mr-chandraprasad</x:t>
  </x:si>
  <x:si>
    <x:t xml:space="preserve">chandraprasad.iqoo@gmail.com</x:t>
  </x:si>
  <x:si>
    <x:t xml:space="preserve">Shashi Kumar</x:t>
  </x:si>
  <x:si>
    <x:t xml:space="preserve">Kankanala</x:t>
  </x:si>
  <x:si>
    <x:t xml:space="preserve">Nalla Narashima Reddy College, Hyderabad</x:t>
  </x:si>
  <x:si>
    <x:t xml:space="preserve">Graduated</x:t>
  </x:si>
  <x:si>
    <x:t xml:space="preserve">Nizamabad</x:t>
  </x:si>
  <x:si>
    <x:t xml:space="preserve">www.linkedin.com/in/shashikumar23</x:t>
  </x:si>
  <x:si>
    <x:t xml:space="preserve">https://github.com/shashikankanala23</x:t>
  </x:si>
  <x:si>
    <x:t xml:space="preserve">shashikankanala23vlsi@gmail.com</x:t>
  </x:si>
  <x:si>
    <x:t xml:space="preserve">Sandupatla </x:t>
  </x:si>
  <x:si>
    <x:t xml:space="preserve">Anu Reddy </x:t>
  </x:si>
  <x:si>
    <x:t xml:space="preserve">National Institute of technology surathkal </x:t>
  </x:si>
  <x:si>
    <x:t xml:space="preserve">Peddapalli </x:t>
  </x:si>
  <x:si>
    <x:t xml:space="preserve">www.linkedin.com/in/anu- reddy-0982b1295</x:t>
  </x:si>
  <x:si>
    <x:t xml:space="preserve">anureddysandupatla-star</x:t>
  </x:si>
  <x:si>
    <x:t xml:space="preserve">anureddysandupatla@gmail.com</x:t>
  </x:si>
  <x:si>
    <x:t xml:space="preserve">Seru </x:t>
  </x:si>
  <x:si>
    <x:t xml:space="preserve">Mukesh Roy</x:t>
  </x:si>
  <x:si>
    <x:t xml:space="preserve">lovely professional univeristy </x:t>
  </x:si>
  <x:si>
    <x:t xml:space="preserve">kakinada</x:t>
  </x:si>
  <x:si>
    <x:t xml:space="preserve">https://www.linkedin.com/in/seru-mukesh-roy-7b867b311/</x:t>
  </x:si>
  <x:si>
    <x:t xml:space="preserve">https://github.com/mukeshroyseru01</x:t>
  </x:si>
  <x:si>
    <x:t xml:space="preserve">serumukeshroy@gmail.com</x:t>
  </x:si>
</x:sst>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"/>
  </x:numFmts>
  <x:fonts count="4">
    <x:font>
      <x:sz val="10"/>
      <x:color rgb="FF000000"/>
      <x:name val="Arial"/>
    </x:font>
    <x:font>
      <x:sz val="10"/>
      <x:color theme="1"/>
      <x:name val="Arial"/>
    </x:font>
    <x:font>
      <x:sz val="10"/>
      <x:color rgb="FF0000FF"/>
      <x:name val="Roboto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F80ED"/>
      </x:patternFill>
    </x:fill>
    <x:fill>
      <x:patternFill patternType="solid">
        <x:fgColor rgb="FFDCE9F8"/>
      </x:patternFill>
    </x:fill>
    <x:fill>
      <x:patternFill patternType="solid">
        <x:fgColor rgb="FFEEF4FB"/>
      </x:patternFill>
    </x:fill>
    <x:fill>
      <x:patternFill patternType="solid">
        <x:fgColor rgb="FF2F80ED"/>
      </x:patternFill>
    </x:fill>
    <x:fill>
      <x:patternFill patternType="solid">
        <x:fgColor rgb="FFEAF2F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14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horizontal="center" vertical="center"/>
    </x:xf>
    <x:xf numFmtId="201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200" fontId="0" fillId="3" borderId="1" xfId="0" applyNumberFormat="1" applyFont="1" applyFill="1" applyBorder="1" applyAlignment="1">
      <x:alignment horizontal="center" vertical="center"/>
    </x:xf>
    <x:xf numFmtId="201" fontId="0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horizontal="center" vertical="center"/>
    </x:xf>
    <x:xf numFmtId="201" fontId="0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/>
    </x:xf>
    <x:xf numFmtId="14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horizontal="center" vertical="center"/>
    </x:xf>
    <x:xf numFmtId="201" fontId="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horizontal="center" vertical="center"/>
    </x:xf>
    <x:xf numFmtId="201" fontId="0" fillId="7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 applyAlignment="1">
      <x:alignment horizontal="left" vertical="center"/>
    </x:xf>
    <x:xf numFmtId="202" fontId="0" fillId="6" borderId="0" xfId="0" applyNumberFormat="1" applyFont="1" applyFill="1" applyBorder="1" applyAlignment="1">
      <x:alignment horizontal="center" vertical="center"/>
    </x:xf>
    <x:xf numFmtId="202" fontId="0" fillId="7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/>
    </x:xf>
    <x:xf numFmtId="201" fontId="0" fillId="8" borderId="0" xfId="0" applyNumberFormat="1" applyFont="1" applyFill="1" applyBorder="1" applyAlignment="1">
      <x:alignment horizontal="center"/>
    </x:xf>
    <x:xf numFmtId="201" fontId="0" fillId="9" borderId="0" xfId="0" applyNumberFormat="1" applyFont="1" applyFill="1" applyBorder="1" applyAlignment="1">
      <x:alignment horizontal="center"/>
    </x:xf>
    <x:xf numFmtId="201" fontId="0" fillId="1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 applyAlignment="1">
      <x:alignment horizontal="center"/>
    </x:xf>
    <x:xf numFmtId="201" fontId="0" fillId="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  <x:dxf>
      <x:fill>
        <x:patternFill>
          <x:bgColor rgb="FFF8F9FA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5B3F8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1d37669c74886" /><Relationship Type="http://schemas.openxmlformats.org/officeDocument/2006/relationships/theme" Target="/xl/theme/theme1.xml" Id="R0bb890f62f184883" /><Relationship Type="http://schemas.openxmlformats.org/officeDocument/2006/relationships/sharedStrings" Target="/xl/sharedStrings.xml" Id="R5ec2651b879342ec" /><Relationship Type="http://schemas.openxmlformats.org/officeDocument/2006/relationships/worksheet" Target="/xl/worksheets/sheet1.xml" Id="R0f966347611744fc" /><Relationship Type="http://schemas.openxmlformats.org/officeDocument/2006/relationships/worksheet" Target="/xl/worksheets/sheet2.xml" Id="Rc0a35b22d8b7400f" /></Relationships>
</file>

<file path=xl/tables/table1.xml><?xml version="1.0" encoding="utf-8"?>
<x:table xmlns:x="http://schemas.openxmlformats.org/spreadsheetml/2006/main" id="1" name="Form_Responses" displayName="Form_Responses" ref="A1:Q28">
  <x:tableColumns count="17">
    <x:tableColumn id="3" name="Cohort"/>
    <x:tableColumn id="4" name="  First Name  "/>
    <x:tableColumn id="5" name="Last Name"/>
    <x:tableColumn id="6" name="Gender  "/>
    <x:tableColumn id="7" name="DOB"/>
    <x:tableColumn id="8" name="College  "/>
    <x:tableColumn id="9" name="Highest Degree  "/>
    <x:tableColumn id="10" name="Education level"/>
    <x:tableColumn id="11" name="Specialization  "/>
    <x:tableColumn id="12" name="Graduation Year  _x000a_(eg:1st year, 2nd year,3rd Year,4th Year)"/>
    <x:tableColumn id="13" name="Country  "/>
    <x:tableColumn id="14" name="State  "/>
    <x:tableColumn id="15" name="City  "/>
    <x:tableColumn id="16" name="Linked In Profile Url"/>
    <x:tableColumn id="17" name="Github Username"/>
    <x:tableColumn id="18" name="Email id "/>
    <x:tableColumn id="19" name="Phone Number(Whatsapp)"/>
  </x:tableColumns>
  <x:tableStyleInfo name="Form responses 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linkedin.com/in/umadevi-vajja-a84387350" TargetMode="External" Id="R6b6c36ae293e4f63" /><Relationship Type="http://schemas.openxmlformats.org/officeDocument/2006/relationships/hyperlink" Target="https://github.com/umadevivajja269-create" TargetMode="External" Id="Red78ff9613ac4378" /><Relationship Type="http://schemas.openxmlformats.org/officeDocument/2006/relationships/hyperlink" Target="https://in.linkedin.com/in/makthal-rahul-rao-65440a256" TargetMode="External" Id="R90ec9bc8051543d2" /><Relationship Type="http://schemas.openxmlformats.org/officeDocument/2006/relationships/hyperlink" Target="https://www.linkedin.com/in/marri-kruthik-388412328/" TargetMode="External" Id="Rcdb87096e6454fa2" /><Relationship Type="http://schemas.openxmlformats.org/officeDocument/2006/relationships/hyperlink" Target="https://github.com/marrikruthik" TargetMode="External" Id="R662ce1c388cc465e" /><Relationship Type="http://schemas.openxmlformats.org/officeDocument/2006/relationships/hyperlink" Target="https://www.linkedin.com/in/gaddam-bala-sai-charan-35291513b?trk=contact-info" TargetMode="External" Id="R0f675d10a2934237" /><Relationship Type="http://schemas.openxmlformats.org/officeDocument/2006/relationships/hyperlink" Target="https://www.linkedin.com/in/battala-reddy-akshaya-788295301?utm_source=share&amp;utm_campaign=share_via&amp;utm_content=profile&amp;utm_medium=android_app" TargetMode="External" Id="Racb0536fd2a347e8" /><Relationship Type="http://schemas.openxmlformats.org/officeDocument/2006/relationships/hyperlink" Target="https://www.linkedin.com/in/daduvaisaiteja/" TargetMode="External" Id="R3008c9b94c7a43d0" /><Relationship Type="http://schemas.openxmlformats.org/officeDocument/2006/relationships/hyperlink" Target="https://www.linkedin.com/in/kuruba-ravindranath-5963a730b?utm_source=share_via&amp;utm_content=profile&amp;utm_medium=member_android" TargetMode="External" Id="Rf7cd3bc1f3f0454a" /><Relationship Type="http://schemas.openxmlformats.org/officeDocument/2006/relationships/hyperlink" Target="https://www.linkedin.com/in/jasmeen-kaur-6aa545258?utm_source=share_via&amp;utm_content=profile&amp;utm_medium=member_ios" TargetMode="External" Id="R8b4f82edd6e543a8" /><Relationship Type="http://schemas.openxmlformats.org/officeDocument/2006/relationships/hyperlink" Target="https://www.linkedin.com/in/ramya-mounika-aravapalli?utm_source=share_via&amp;utm_content=profile&amp;utm_medium=member_android" TargetMode="External" Id="R41d262e3d33640ba" /><Relationship Type="http://schemas.openxmlformats.org/officeDocument/2006/relationships/hyperlink" Target="https://github.com/ramyamounika1946" TargetMode="External" Id="R2d48f3a0f1184643" /><Relationship Type="http://schemas.openxmlformats.org/officeDocument/2006/relationships/hyperlink" Target="https://www.linkedin.com/in/likitha-padige" TargetMode="External" Id="R2d4ad2128dbe41e1" /><Relationship Type="http://schemas.openxmlformats.org/officeDocument/2006/relationships/hyperlink" Target="https://www.linkedin.com/in/yepuganti-anji/" TargetMode="External" Id="R41effbf6ebd74e17" /><Relationship Type="http://schemas.openxmlformats.org/officeDocument/2006/relationships/hyperlink" Target="https://www.linkedin.com/in/thupakula-gowtham-kumar-817aaa348?utm_source=share_via&amp;utm_content=profile&amp;utm_medium=member_android" TargetMode="External" Id="R8044c1fcd04540de" /><Relationship Type="http://schemas.openxmlformats.org/officeDocument/2006/relationships/hyperlink" Target="https://www.linkedin.com/in/shravana-h-s/" TargetMode="External" Id="Rd95eaa2449ab493d" /><Relationship Type="http://schemas.openxmlformats.org/officeDocument/2006/relationships/hyperlink" Target="https://www.linkedin.com/in/mani-emmadi-068b69276/" TargetMode="External" Id="Rdb76c8bf21ae4466" /><Relationship Type="http://schemas.openxmlformats.org/officeDocument/2006/relationships/hyperlink" Target="http://linkedin.com/in/venkatapranay" TargetMode="External" Id="R55c4e0f5a7fb4945" /><Relationship Type="http://schemas.openxmlformats.org/officeDocument/2006/relationships/hyperlink" Target="https://www.linkedin.com/in/himanshu-pal-587648203" TargetMode="External" Id="Rbdb0ef4dd28b4608" /><Relationship Type="http://schemas.openxmlformats.org/officeDocument/2006/relationships/hyperlink" Target="https://www.linkedin.com/in/karanki-sudheer-babu-7b6992208" TargetMode="External" Id="R939ff96a9293475b" /><Relationship Type="http://schemas.openxmlformats.org/officeDocument/2006/relationships/hyperlink" Target="http://linkedin.com/in/boya-divya-53b" TargetMode="External" Id="R40d7d0ee3d014e0d" /><Relationship Type="http://schemas.openxmlformats.org/officeDocument/2006/relationships/hyperlink" Target="http://github.com/divyab6130" TargetMode="External" Id="R7897e605a2ea46d0" /><Relationship Type="http://schemas.openxmlformats.org/officeDocument/2006/relationships/hyperlink" Target="https://www.linkedin.com/in/narayanasetty-dedeepya-0a901a322" TargetMode="External" Id="Rb383b4424f2f46ef" /><Relationship Type="http://schemas.openxmlformats.org/officeDocument/2006/relationships/hyperlink" Target="https://github.com/ndedeepyag226integratedvlsi" TargetMode="External" Id="R1664250713f748c0" /><Relationship Type="http://schemas.openxmlformats.org/officeDocument/2006/relationships/hyperlink" Target="https://www.linkedin.com/in/likhithamathakala?utm_source=share_via&amp;utm_content=profile&amp;utm_medium=member_android" TargetMode="External" Id="Rda3f27e686d54302" /><Relationship Type="http://schemas.openxmlformats.org/officeDocument/2006/relationships/hyperlink" Target="https://www.linkedin.com/in/navya-sree-nadiminti" TargetMode="External" Id="Rc870bd72dbc944c1" /><Relationship Type="http://schemas.openxmlformats.org/officeDocument/2006/relationships/hyperlink" Target="http://www.linkedin.com/in/rekha-mallu-04b4a5321" TargetMode="External" Id="Rfd07bcaf5f874c97" /><Relationship Type="http://schemas.openxmlformats.org/officeDocument/2006/relationships/hyperlink" Target="https://www.linkedin.com/in/chandra-prasad-bamini-64826723b/" TargetMode="External" Id="Re0a1cefa817d4e03" /><Relationship Type="http://schemas.openxmlformats.org/officeDocument/2006/relationships/hyperlink" Target="https://github.com/mr-chandraprasad" TargetMode="External" Id="Re1c72a48b4184137" /><Relationship Type="http://schemas.openxmlformats.org/officeDocument/2006/relationships/hyperlink" Target="http://www.linkedin.com/in/shashikumar23" TargetMode="External" Id="R40f39bac571e421d" /><Relationship Type="http://schemas.openxmlformats.org/officeDocument/2006/relationships/hyperlink" Target="https://github.com/shashikankanala23" TargetMode="External" Id="R34175393a99d44eb" /><Relationship Type="http://schemas.openxmlformats.org/officeDocument/2006/relationships/hyperlink" Target="https://www.linkedin.com/in/seru-mukesh-roy-7b867b311/" TargetMode="External" Id="R05953d52bfb544d0" /><Relationship Type="http://schemas.openxmlformats.org/officeDocument/2006/relationships/hyperlink" Target="https://github.com/mukeshroyseru01" TargetMode="External" Id="R2dab4844d9aa477e" /><Relationship Type="http://schemas.openxmlformats.org/officeDocument/2006/relationships/table" Target="/xl/tables/table1.xml" Id="Rb661da62c13442cd" /></Relationships>
</file>

<file path=xl/worksheets/sheet1.xml><?xml version="1.0" encoding="utf-8"?>
<x:worksheet xmlns:x="http://schemas.openxmlformats.org/spreadsheetml/2006/main">
  <x:sheetFormatPr defaultColWidth="12.5703125" defaultRowHeight="15.75"/>
  <x:cols>
    <x:col min="1" max="1" width="18.85546875" customWidth="1"/>
    <x:col min="2" max="2" width="33.140625" customWidth="1"/>
    <x:col min="3" max="11" width="18.85546875" customWidth="1"/>
    <x:col min="12" max="12" width="33.5703125" customWidth="1"/>
    <x:col min="13" max="15" width="18.85546875" customWidth="1"/>
    <x:col min="16" max="16" width="19.42578125" customWidth="1"/>
    <x:col min="17" max="17" width="18.85546875" customWidth="1"/>
    <x:col min="18" max="18" width="18" hidden="0" customWidth="1"/>
    <x:col min="19" max="19" width="18" hidden="0" customWidth="1"/>
    <x:col min="20" max="25" width="18.85546875" customWidth="1"/>
    <x:col min="20" max="20" width="18" hidden="0" customWidth="1"/>
    <x:col min="21" max="21" width="22" hidden="0" customWidth="1"/>
    <x:col min="22" max="22" width="18" hidden="0" customWidth="1"/>
    <x:col min="23" max="23" width="13" hidden="0" customWidth="1"/>
    <x:col min="24" max="24" width="13" hidden="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70" t="str">
        <x:v>Admission Test (50)</x:v>
      </x:c>
      <x:c r="S1" s="71" t="str">
        <x:v>Module 1 - Quiz (20)</x:v>
      </x:c>
      <x:c r="T1" s="71" t="str">
        <x:v>Module 2 - RTL (20)</x:v>
      </x:c>
      <x:c r="U1" s="71" t="str">
        <x:v>Module 3 - SV &amp; UVM (15)</x:v>
      </x:c>
      <x:c r="V1" s="71" t="str">
        <x:v>Module 4 - DFT (10)</x:v>
      </x:c>
      <x:c r="W1" s="72" t="str">
        <x:v>Total (115)</x:v>
      </x:c>
      <x:c r="X1" s="77" t="str">
        <x:v>Overall %</x:v>
      </x:c>
    </x:row>
    <x:row r="2" ht="20" customHeight="1">
      <x:c r="A2" s="2" t="s">
        <x:v>17</x:v>
      </x:c>
      <x:c r="B2" s="2" t="s">
        <x:v>18</x:v>
      </x:c>
      <x:c r="C2" s="2" t="s">
        <x:v>19</x:v>
      </x:c>
      <x:c r="D2" s="2" t="s">
        <x:v>20</x:v>
      </x:c>
      <x:c r="E2" s="3">
        <x:v>39009</x:v>
      </x:c>
      <x:c r="F2" s="2" t="s">
        <x:v>21</x:v>
      </x:c>
      <x:c r="G2" s="2" t="s">
        <x:v>22</x:v>
      </x:c>
      <x:c r="H2" s="2" t="s">
        <x:v>23</x:v>
      </x:c>
      <x:c r="I2" s="2" t="s">
        <x:v>24</x:v>
      </x:c>
      <x:c r="J2" s="2" t="s">
        <x:v>25</x:v>
      </x:c>
      <x:c r="K2" s="2" t="s">
        <x:v>26</x:v>
      </x:c>
      <x:c r="L2" s="2" t="s">
        <x:v>27</x:v>
      </x:c>
      <x:c r="M2" s="2" t="s">
        <x:v>28</x:v>
      </x:c>
      <x:c r="N2" s="4" t="s">
        <x:v>29</x:v>
      </x:c>
      <x:c r="O2" s="4" t="s">
        <x:v>30</x:v>
      </x:c>
      <x:c r="P2" s="2" t="s">
        <x:v>31</x:v>
      </x:c>
      <x:c r="Q2" s="2">
        <x:v>9441865222</x:v>
      </x:c>
      <x:c r="R2" s="88" t="n">
        <x:v>48</x:v>
      </x:c>
      <x:c r="S2" s="88" t="n">
        <x:v>14</x:v>
      </x:c>
      <x:c r="T2" s="88" t="n">
        <x:v>13</x:v>
      </x:c>
      <x:c r="U2" s="80" t="n">
        <x:v>6.33</x:v>
      </x:c>
      <x:c r="V2" s="88" t="n">
        <x:v>9</x:v>
      </x:c>
      <x:c r="W2" s="80" t="n">
        <x:f>SUM(R2:V2)</x:f>
        <x:v>90.33</x:v>
      </x:c>
      <x:c r="X2" s="98" t="n">
        <x:f>W2/115</x:f>
        <x:v>0.7854782608695652</x:v>
      </x:c>
    </x:row>
    <x:row r="3" ht="20" customHeight="1">
      <x:c r="A3" s="2" t="s">
        <x:v>17</x:v>
      </x:c>
      <x:c r="B3" s="2" t="s">
        <x:v>32</x:v>
      </x:c>
      <x:c r="C3" s="2" t="s">
        <x:v>33</x:v>
      </x:c>
      <x:c r="D3" s="2" t="s">
        <x:v>34</x:v>
      </x:c>
      <x:c r="E3" s="3">
        <x:v>37701</x:v>
      </x:c>
      <x:c r="F3" s="2" t="s">
        <x:v>35</x:v>
      </x:c>
      <x:c r="G3" s="2" t="s">
        <x:v>36</x:v>
      </x:c>
      <x:c r="H3" s="2" t="s">
        <x:v>37</x:v>
      </x:c>
      <x:c r="I3" s="2" t="s">
        <x:v>38</x:v>
      </x:c>
      <x:c r="J3" s="2" t="s">
        <x:v>39</x:v>
      </x:c>
      <x:c r="K3" s="2" t="s">
        <x:v>26</x:v>
      </x:c>
      <x:c r="L3" s="2" t="s">
        <x:v>40</x:v>
      </x:c>
      <x:c r="M3" s="2" t="s">
        <x:v>41</x:v>
      </x:c>
      <x:c r="N3" s="4" t="s">
        <x:v>42</x:v>
      </x:c>
      <x:c r="O3" s="2" t="s">
        <x:v>43</x:v>
      </x:c>
      <x:c r="P3" s="2" t="s">
        <x:v>44</x:v>
      </x:c>
      <x:c r="Q3" s="2">
        <x:v>9014460251</x:v>
      </x:c>
      <x:c r="R3" s="89" t="n">
        <x:v>44</x:v>
      </x:c>
      <x:c r="S3" s="89" t="n">
        <x:v>18</x:v>
      </x:c>
      <x:c r="T3" s="89" t="n">
        <x:v>20</x:v>
      </x:c>
      <x:c r="U3" s="84" t="n">
        <x:v>12.33</x:v>
      </x:c>
      <x:c r="V3" s="89" t="n">
        <x:v>9</x:v>
      </x:c>
      <x:c r="W3" s="84" t="n">
        <x:f>SUM(R3:V3)</x:f>
        <x:v>103.33</x:v>
      </x:c>
      <x:c r="X3" s="99" t="n">
        <x:f>W3/115</x:f>
        <x:v>0.8985217391304348</x:v>
      </x:c>
    </x:row>
    <x:row r="4" ht="20" customHeight="1">
      <x:c r="A4" s="2" t="s">
        <x:v>17</x:v>
      </x:c>
      <x:c r="B4" s="2" t="s">
        <x:v>45</x:v>
      </x:c>
      <x:c r="C4" s="2" t="s">
        <x:v>46</x:v>
      </x:c>
      <x:c r="D4" s="2" t="s">
        <x:v>34</x:v>
      </x:c>
      <x:c r="E4" s="3">
        <x:v>38458</x:v>
      </x:c>
      <x:c r="F4" s="2" t="s">
        <x:v>47</x:v>
      </x:c>
      <x:c r="G4" s="2" t="s">
        <x:v>22</x:v>
      </x:c>
      <x:c r="H4" s="2" t="s">
        <x:v>23</x:v>
      </x:c>
      <x:c r="I4" s="2" t="s">
        <x:v>24</x:v>
      </x:c>
      <x:c r="J4" s="2" t="s">
        <x:v>25</x:v>
      </x:c>
      <x:c r="K4" s="2" t="s">
        <x:v>26</x:v>
      </x:c>
      <x:c r="L4" s="2" t="s">
        <x:v>40</x:v>
      </x:c>
      <x:c r="M4" s="2" t="s">
        <x:v>48</x:v>
      </x:c>
      <x:c r="N4" s="4" t="s">
        <x:v>49</x:v>
      </x:c>
      <x:c r="O4" s="4" t="s">
        <x:v>50</x:v>
      </x:c>
      <x:c r="P4" s="2" t="s">
        <x:v>51</x:v>
      </x:c>
      <x:c r="Q4" s="2">
        <x:v>7396306987</x:v>
      </x:c>
      <x:c r="R4" s="88" t="n">
        <x:v>41</x:v>
      </x:c>
      <x:c r="S4" s="88" t="n">
        <x:v>18</x:v>
      </x:c>
      <x:c r="T4" s="88" t="n">
        <x:v>19</x:v>
      </x:c>
      <x:c r="U4" s="80" t="n">
        <x:v>11.33</x:v>
      </x:c>
      <x:c r="V4" s="88" t="n">
        <x:v>10</x:v>
      </x:c>
      <x:c r="W4" s="80" t="n">
        <x:f>SUM(R4:V4)</x:f>
        <x:v>99.33</x:v>
      </x:c>
      <x:c r="X4" s="98" t="n">
        <x:f>W4/115</x:f>
        <x:v>0.8637391304347826</x:v>
      </x:c>
    </x:row>
    <x:row r="5" ht="20" customHeight="1">
      <x:c r="A5" s="2" t="s">
        <x:v>17</x:v>
      </x:c>
      <x:c r="B5" s="2" t="s">
        <x:v>52</x:v>
      </x:c>
      <x:c r="C5" s="2" t="s">
        <x:v>53</x:v>
      </x:c>
      <x:c r="D5" s="2" t="s">
        <x:v>34</x:v>
      </x:c>
      <x:c r="E5" s="3">
        <x:v>37714</x:v>
      </x:c>
      <x:c r="F5" s="2" t="s">
        <x:v>54</x:v>
      </x:c>
      <x:c r="G5" s="2" t="s">
        <x:v>36</x:v>
      </x:c>
      <x:c r="H5" s="2" t="s">
        <x:v>37</x:v>
      </x:c>
      <x:c r="I5" s="2" t="s">
        <x:v>24</x:v>
      </x:c>
      <x:c r="J5" s="2" t="s">
        <x:v>55</x:v>
      </x:c>
      <x:c r="K5" s="2" t="s">
        <x:v>26</x:v>
      </x:c>
      <x:c r="L5" s="2" t="s">
        <x:v>40</x:v>
      </x:c>
      <x:c r="M5" s="2" t="s">
        <x:v>56</x:v>
      </x:c>
      <x:c r="N5" s="4" t="s">
        <x:v>57</x:v>
      </x:c>
      <x:c r="O5" s="2" t="s">
        <x:v>58</x:v>
      </x:c>
      <x:c r="P5" s="2" t="s">
        <x:v>59</x:v>
      </x:c>
      <x:c r="Q5" s="2">
        <x:v>6305933606</x:v>
      </x:c>
      <x:c r="R5" s="89" t="n">
        <x:v>46</x:v>
      </x:c>
      <x:c r="S5" s="89" t="n">
        <x:v>19</x:v>
      </x:c>
      <x:c r="T5" s="89" t="n">
        <x:v>18</x:v>
      </x:c>
      <x:c r="U5" s="84" t="n">
        <x:v>9.33</x:v>
      </x:c>
      <x:c r="V5" s="89" t="n">
        <x:v>10</x:v>
      </x:c>
      <x:c r="W5" s="84" t="n">
        <x:f>SUM(R5:V5)</x:f>
        <x:v>102.33</x:v>
      </x:c>
      <x:c r="X5" s="99" t="n">
        <x:f>W5/115</x:f>
        <x:v>0.8898260869565218</x:v>
      </x:c>
    </x:row>
    <x:row r="6" ht="20" customHeight="1">
      <x:c r="A6" s="2" t="s">
        <x:v>17</x:v>
      </x:c>
      <x:c r="B6" s="2" t="s">
        <x:v>60</x:v>
      </x:c>
      <x:c r="C6" s="2" t="s">
        <x:v>61</x:v>
      </x:c>
      <x:c r="D6" s="2" t="s">
        <x:v>20</x:v>
      </x:c>
      <x:c r="E6" s="3">
        <x:v>38754</x:v>
      </x:c>
      <x:c r="F6" s="2" t="s">
        <x:v>62</x:v>
      </x:c>
      <x:c r="G6" s="2" t="s">
        <x:v>22</x:v>
      </x:c>
      <x:c r="H6" s="2" t="s">
        <x:v>23</x:v>
      </x:c>
      <x:c r="I6" s="2" t="s">
        <x:v>24</x:v>
      </x:c>
      <x:c r="J6" s="2" t="s">
        <x:v>63</x:v>
      </x:c>
      <x:c r="K6" s="2" t="s">
        <x:v>26</x:v>
      </x:c>
      <x:c r="L6" s="2" t="s">
        <x:v>27</x:v>
      </x:c>
      <x:c r="M6" s="2" t="s">
        <x:v>64</x:v>
      </x:c>
      <x:c r="N6" s="4" t="s">
        <x:v>65</x:v>
      </x:c>
      <x:c r="O6" s="2" t="s">
        <x:v>66</x:v>
      </x:c>
      <x:c r="P6" s="2" t="s">
        <x:v>67</x:v>
      </x:c>
      <x:c r="Q6" s="2">
        <x:v>7416534988</x:v>
      </x:c>
      <x:c r="R6" s="88" t="n">
        <x:v>47</x:v>
      </x:c>
      <x:c r="S6" s="88" t="n">
        <x:v>18</x:v>
      </x:c>
      <x:c r="T6" s="88" t="n">
        <x:v>19</x:v>
      </x:c>
      <x:c r="U6" s="80" t="n">
        <x:v>12</x:v>
      </x:c>
      <x:c r="V6" s="88" t="n">
        <x:v>10</x:v>
      </x:c>
      <x:c r="W6" s="80" t="n">
        <x:f>SUM(R6:V6)</x:f>
        <x:v>106</x:v>
      </x:c>
      <x:c r="X6" s="98" t="n">
        <x:f>W6/115</x:f>
        <x:v>0.9217391304347826</x:v>
      </x:c>
    </x:row>
    <x:row r="7" ht="20" customHeight="1">
      <x:c r="A7" s="2" t="s">
        <x:v>17</x:v>
      </x:c>
      <x:c r="B7" s="2" t="s">
        <x:v>68</x:v>
      </x:c>
      <x:c r="C7" s="2" t="s">
        <x:v>69</x:v>
      </x:c>
      <x:c r="D7" s="2" t="s">
        <x:v>34</x:v>
      </x:c>
      <x:c r="E7" s="3">
        <x:v>37135</x:v>
      </x:c>
      <x:c r="F7" s="2" t="s">
        <x:v>70</x:v>
      </x:c>
      <x:c r="G7" s="2" t="s">
        <x:v>36</x:v>
      </x:c>
      <x:c r="H7" s="2" t="s">
        <x:v>37</x:v>
      </x:c>
      <x:c r="I7" s="2" t="s">
        <x:v>38</x:v>
      </x:c>
      <x:c r="J7" s="2" t="s">
        <x:v>39</x:v>
      </x:c>
      <x:c r="K7" s="2" t="s">
        <x:v>26</x:v>
      </x:c>
      <x:c r="L7" s="2" t="s">
        <x:v>40</x:v>
      </x:c>
      <x:c r="M7" s="2" t="s">
        <x:v>71</x:v>
      </x:c>
      <x:c r="N7" s="4" t="s">
        <x:v>72</x:v>
      </x:c>
      <x:c r="O7" s="2" t="s">
        <x:v>73</x:v>
      </x:c>
      <x:c r="P7" s="2" t="s">
        <x:v>74</x:v>
      </x:c>
      <x:c r="Q7" s="2">
        <x:v>6304041610</x:v>
      </x:c>
      <x:c r="R7" s="89" t="n">
        <x:v>46</x:v>
      </x:c>
      <x:c r="S7" s="89" t="n">
        <x:v>18</x:v>
      </x:c>
      <x:c r="T7" s="89" t="n">
        <x:v>20</x:v>
      </x:c>
      <x:c r="U7" s="84" t="n">
        <x:v>13</x:v>
      </x:c>
      <x:c r="V7" s="89" t="n">
        <x:v>10</x:v>
      </x:c>
      <x:c r="W7" s="84" t="n">
        <x:f>SUM(R7:V7)</x:f>
        <x:v>107</x:v>
      </x:c>
      <x:c r="X7" s="99" t="n">
        <x:f>W7/115</x:f>
        <x:v>0.9304347826086956</x:v>
      </x:c>
    </x:row>
    <x:row r="8" ht="20" customHeight="1">
      <x:c r="A8" s="2" t="s">
        <x:v>17</x:v>
      </x:c>
      <x:c r="B8" s="2" t="s">
        <x:v>75</x:v>
      </x:c>
      <x:c r="C8" s="2" t="s">
        <x:v>76</x:v>
      </x:c>
      <x:c r="D8" s="2" t="s">
        <x:v>34</x:v>
      </x:c>
      <x:c r="E8" s="3">
        <x:v>38703</x:v>
      </x:c>
      <x:c r="F8" s="2" t="s">
        <x:v>77</x:v>
      </x:c>
      <x:c r="G8" s="2" t="s">
        <x:v>22</x:v>
      </x:c>
      <x:c r="H8" s="2" t="s">
        <x:v>23</x:v>
      </x:c>
      <x:c r="I8" s="2" t="s">
        <x:v>24</x:v>
      </x:c>
      <x:c r="J8" s="2" t="s">
        <x:v>63</x:v>
      </x:c>
      <x:c r="K8" s="2" t="s">
        <x:v>26</x:v>
      </x:c>
      <x:c r="L8" s="2" t="s">
        <x:v>27</x:v>
      </x:c>
      <x:c r="M8" s="2" t="s">
        <x:v>64</x:v>
      </x:c>
      <x:c r="N8" s="4" t="s">
        <x:v>78</x:v>
      </x:c>
      <x:c r="O8" s="2" t="s">
        <x:v>79</x:v>
      </x:c>
      <x:c r="P8" s="2" t="s">
        <x:v>80</x:v>
      </x:c>
      <x:c r="Q8" s="2">
        <x:v>8019001917</x:v>
      </x:c>
      <x:c r="R8" s="88" t="n">
        <x:v>46</x:v>
      </x:c>
      <x:c r="S8" s="88" t="n">
        <x:v>18</x:v>
      </x:c>
      <x:c r="T8" s="88" t="n">
        <x:v>20</x:v>
      </x:c>
      <x:c r="U8" s="80" t="n">
        <x:v>13.33</x:v>
      </x:c>
      <x:c r="V8" s="88" t="n">
        <x:v>9</x:v>
      </x:c>
      <x:c r="W8" s="80" t="n">
        <x:f>SUM(R8:V8)</x:f>
        <x:v>106.33</x:v>
      </x:c>
      <x:c r="X8" s="98" t="n">
        <x:f>W8/115</x:f>
        <x:v>0.9246086956521739</x:v>
      </x:c>
    </x:row>
    <x:row r="9" ht="20" customHeight="1">
      <x:c r="A9" s="2" t="s">
        <x:v>17</x:v>
      </x:c>
      <x:c r="B9" s="2" t="s">
        <x:v>81</x:v>
      </x:c>
      <x:c r="C9" s="2" t="s">
        <x:v>82</x:v>
      </x:c>
      <x:c r="D9" s="2" t="s">
        <x:v>20</x:v>
      </x:c>
      <x:c r="E9" s="3">
        <x:v>38077</x:v>
      </x:c>
      <x:c r="F9" s="2" t="s">
        <x:v>83</x:v>
      </x:c>
      <x:c r="G9" s="2" t="s">
        <x:v>22</x:v>
      </x:c>
      <x:c r="H9" s="2" t="s">
        <x:v>23</x:v>
      </x:c>
      <x:c r="I9" s="2" t="s">
        <x:v>24</x:v>
      </x:c>
      <x:c r="J9" s="2" t="s">
        <x:v>84</x:v>
      </x:c>
      <x:c r="K9" s="2" t="s">
        <x:v>26</x:v>
      </x:c>
      <x:c r="L9" s="2" t="s">
        <x:v>40</x:v>
      </x:c>
      <x:c r="M9" s="2" t="s">
        <x:v>71</x:v>
      </x:c>
      <x:c r="N9" s="4" t="s">
        <x:v>85</x:v>
      </x:c>
      <x:c r="O9" s="2" t="s">
        <x:v>86</x:v>
      </x:c>
      <x:c r="P9" s="2" t="s">
        <x:v>87</x:v>
      </x:c>
      <x:c r="Q9" s="2">
        <x:v>8121717171</x:v>
      </x:c>
      <x:c r="R9" s="89" t="n">
        <x:v>36</x:v>
      </x:c>
      <x:c r="S9" s="89" t="n">
        <x:v>15</x:v>
      </x:c>
      <x:c r="T9" s="89" t="n">
        <x:v>17</x:v>
      </x:c>
      <x:c r="U9" s="84" t="n">
        <x:v>11.33</x:v>
      </x:c>
      <x:c r="V9" s="89" t="n">
        <x:v>10</x:v>
      </x:c>
      <x:c r="W9" s="84" t="n">
        <x:f>SUM(R9:V9)</x:f>
        <x:v>89.33</x:v>
      </x:c>
      <x:c r="X9" s="99" t="n">
        <x:f>W9/115</x:f>
        <x:v>0.7767826086956522</x:v>
      </x:c>
    </x:row>
    <x:row r="10" ht="20" customHeight="1">
      <x:c r="A10" s="2" t="s">
        <x:v>17</x:v>
      </x:c>
      <x:c r="B10" s="2" t="s">
        <x:v>88</x:v>
      </x:c>
      <x:c r="C10" s="2" t="s">
        <x:v>89</x:v>
      </x:c>
      <x:c r="D10" s="2" t="s">
        <x:v>20</x:v>
      </x:c>
      <x:c r="E10" s="3">
        <x:v>38826</x:v>
      </x:c>
      <x:c r="F10" s="2" t="s">
        <x:v>90</x:v>
      </x:c>
      <x:c r="G10" s="2" t="s">
        <x:v>22</x:v>
      </x:c>
      <x:c r="H10" s="2" t="s">
        <x:v>23</x:v>
      </x:c>
      <x:c r="I10" s="2" t="s">
        <x:v>24</x:v>
      </x:c>
      <x:c r="J10" s="2" t="s">
        <x:v>84</x:v>
      </x:c>
      <x:c r="K10" s="2" t="s">
        <x:v>26</x:v>
      </x:c>
      <x:c r="L10" s="2" t="s">
        <x:v>27</x:v>
      </x:c>
      <x:c r="M10" s="2" t="s">
        <x:v>91</x:v>
      </x:c>
      <x:c r="N10" s="4" t="s">
        <x:v>92</x:v>
      </x:c>
      <x:c r="O10" s="4" t="s">
        <x:v>93</x:v>
      </x:c>
      <x:c r="P10" s="2" t="s">
        <x:v>94</x:v>
      </x:c>
      <x:c r="Q10" s="2">
        <x:v>9491601904</x:v>
      </x:c>
      <x:c r="R10" s="88" t="n">
        <x:v>42</x:v>
      </x:c>
      <x:c r="S10" s="88" t="n">
        <x:v>19</x:v>
      </x:c>
      <x:c r="T10" s="88" t="n">
        <x:v>20</x:v>
      </x:c>
      <x:c r="U10" s="80" t="n">
        <x:v>10</x:v>
      </x:c>
      <x:c r="V10" s="88" t="n">
        <x:v>10</x:v>
      </x:c>
      <x:c r="W10" s="80" t="n">
        <x:f>SUM(R10:V10)</x:f>
        <x:v>101</x:v>
      </x:c>
      <x:c r="X10" s="98" t="n">
        <x:f>W10/115</x:f>
        <x:v>0.8782608695652174</x:v>
      </x:c>
    </x:row>
    <x:row r="11" ht="20" customHeight="1">
      <x:c r="A11" s="2" t="s">
        <x:v>17</x:v>
      </x:c>
      <x:c r="B11" s="2" t="s">
        <x:v>95</x:v>
      </x:c>
      <x:c r="C11" s="2" t="s">
        <x:v>96</x:v>
      </x:c>
      <x:c r="D11" s="2" t="s">
        <x:v>20</x:v>
      </x:c>
      <x:c r="E11" s="3">
        <x:v>38954</x:v>
      </x:c>
      <x:c r="F11" s="2" t="s">
        <x:v>97</x:v>
      </x:c>
      <x:c r="G11" s="2" t="s">
        <x:v>22</x:v>
      </x:c>
      <x:c r="H11" s="2" t="s">
        <x:v>23</x:v>
      </x:c>
      <x:c r="I11" s="2" t="s">
        <x:v>24</x:v>
      </x:c>
      <x:c r="J11" s="2" t="s">
        <x:v>25</x:v>
      </x:c>
      <x:c r="K11" s="2" t="s">
        <x:v>26</x:v>
      </x:c>
      <x:c r="L11" s="2" t="s">
        <x:v>27</x:v>
      </x:c>
      <x:c r="M11" s="2" t="s">
        <x:v>98</x:v>
      </x:c>
      <x:c r="N11" s="2" t="s">
        <x:v>99</x:v>
      </x:c>
      <x:c r="O11" s="2" t="s">
        <x:v>100</x:v>
      </x:c>
      <x:c r="P11" s="2" t="s">
        <x:v>101</x:v>
      </x:c>
      <x:c r="Q11" s="2">
        <x:v>9010526564</x:v>
      </x:c>
      <x:c r="R11" s="89" t="n">
        <x:v>29</x:v>
      </x:c>
      <x:c r="S11" s="89" t="n">
        <x:v>19</x:v>
      </x:c>
      <x:c r="T11" s="89" t="n">
        <x:v>17</x:v>
      </x:c>
      <x:c r="U11" s="84" t="n">
        <x:v>11</x:v>
      </x:c>
      <x:c r="V11" s="89" t="n">
        <x:v>8</x:v>
      </x:c>
      <x:c r="W11" s="84" t="n">
        <x:f>SUM(R11:V11)</x:f>
        <x:v>84</x:v>
      </x:c>
      <x:c r="X11" s="99" t="n">
        <x:f>W11/115</x:f>
        <x:v>0.7304347826086957</x:v>
      </x:c>
    </x:row>
    <x:row r="12" ht="20" customHeight="1">
      <x:c r="A12" s="2" t="s">
        <x:v>17</x:v>
      </x:c>
      <x:c r="B12" s="2" t="s">
        <x:v>102</x:v>
      </x:c>
      <x:c r="C12" s="2" t="s">
        <x:v>103</x:v>
      </x:c>
      <x:c r="D12" s="2" t="s">
        <x:v>20</x:v>
      </x:c>
      <x:c r="E12" s="3">
        <x:v>37782</x:v>
      </x:c>
      <x:c r="F12" s="2" t="s">
        <x:v>104</x:v>
      </x:c>
      <x:c r="G12" s="2" t="s">
        <x:v>36</x:v>
      </x:c>
      <x:c r="H12" s="2" t="s">
        <x:v>37</x:v>
      </x:c>
      <x:c r="I12" s="2" t="s">
        <x:v>38</x:v>
      </x:c>
      <x:c r="J12" s="2" t="s">
        <x:v>105</x:v>
      </x:c>
      <x:c r="K12" s="2" t="s">
        <x:v>26</x:v>
      </x:c>
      <x:c r="L12" s="2" t="s">
        <x:v>40</x:v>
      </x:c>
      <x:c r="M12" s="2" t="s">
        <x:v>56</x:v>
      </x:c>
      <x:c r="N12" s="4" t="s">
        <x:v>106</x:v>
      </x:c>
      <x:c r="O12" s="2" t="s">
        <x:v>107</x:v>
      </x:c>
      <x:c r="P12" s="2" t="s">
        <x:v>108</x:v>
      </x:c>
      <x:c r="Q12" s="2">
        <x:v>9951683108</x:v>
      </x:c>
      <x:c r="R12" s="88" t="n">
        <x:v>35</x:v>
      </x:c>
      <x:c r="S12" s="88" t="n">
        <x:v>15</x:v>
      </x:c>
      <x:c r="T12" s="88" t="n">
        <x:v>9</x:v>
      </x:c>
      <x:c r="U12" s="80" t="n">
        <x:v>7</x:v>
      </x:c>
      <x:c r="V12" s="88" t="n">
        <x:v>8</x:v>
      </x:c>
      <x:c r="W12" s="80" t="n">
        <x:f>SUM(R12:V12)</x:f>
        <x:v>74</x:v>
      </x:c>
      <x:c r="X12" s="98" t="n">
        <x:f>W12/115</x:f>
        <x:v>0.6434782608695652</x:v>
      </x:c>
    </x:row>
    <x:row r="13" ht="20" customHeight="1">
      <x:c r="A13" s="2" t="s">
        <x:v>17</x:v>
      </x:c>
      <x:c r="B13" s="2" t="s">
        <x:v>109</x:v>
      </x:c>
      <x:c r="C13" s="2" t="s">
        <x:v>110</x:v>
      </x:c>
      <x:c r="D13" s="2" t="s">
        <x:v>34</x:v>
      </x:c>
      <x:c r="E13" s="3">
        <x:v>37358</x:v>
      </x:c>
      <x:c r="F13" s="2" t="s">
        <x:v>111</x:v>
      </x:c>
      <x:c r="G13" s="2" t="s">
        <x:v>36</x:v>
      </x:c>
      <x:c r="H13" s="2" t="s">
        <x:v>37</x:v>
      </x:c>
      <x:c r="I13" s="2" t="s">
        <x:v>38</x:v>
      </x:c>
      <x:c r="J13" s="2" t="s">
        <x:v>112</x:v>
      </x:c>
      <x:c r="K13" s="2" t="s">
        <x:v>26</x:v>
      </x:c>
      <x:c r="L13" s="2" t="s">
        <x:v>27</x:v>
      </x:c>
      <x:c r="M13" s="2" t="s">
        <x:v>113</x:v>
      </x:c>
      <x:c r="N13" s="4" t="s">
        <x:v>114</x:v>
      </x:c>
      <x:c r="O13" s="2" t="s">
        <x:v>115</x:v>
      </x:c>
      <x:c r="P13" s="2" t="s">
        <x:v>116</x:v>
      </x:c>
      <x:c r="Q13" s="2">
        <x:v>7995801081</x:v>
      </x:c>
      <x:c r="R13" s="89" t="n">
        <x:v>35</x:v>
      </x:c>
      <x:c r="S13" s="89" t="n">
        <x:v>16</x:v>
      </x:c>
      <x:c r="T13" s="89" t="n">
        <x:v>13</x:v>
      </x:c>
      <x:c r="U13" s="84" t="n">
        <x:v>12</x:v>
      </x:c>
      <x:c r="V13" s="89" t="n">
        <x:v>9</x:v>
      </x:c>
      <x:c r="W13" s="84" t="n">
        <x:f>SUM(R13:V13)</x:f>
        <x:v>85</x:v>
      </x:c>
      <x:c r="X13" s="99" t="n">
        <x:f>W13/115</x:f>
        <x:v>0.7391304347826086</x:v>
      </x:c>
    </x:row>
    <x:row r="14" ht="20" customHeight="1">
      <x:c r="A14" s="2" t="s">
        <x:v>17</x:v>
      </x:c>
      <x:c r="B14" s="2" t="s">
        <x:v>117</x:v>
      </x:c>
      <x:c r="C14" s="2" t="s">
        <x:v>118</x:v>
      </x:c>
      <x:c r="D14" s="2" t="s">
        <x:v>34</x:v>
      </x:c>
      <x:c r="E14" s="3">
        <x:v>38037</x:v>
      </x:c>
      <x:c r="F14" s="2" t="s">
        <x:v>119</x:v>
      </x:c>
      <x:c r="G14" s="2" t="s">
        <x:v>22</x:v>
      </x:c>
      <x:c r="H14" s="2" t="s">
        <x:v>23</x:v>
      </x:c>
      <x:c r="I14" s="2" t="s">
        <x:v>24</x:v>
      </x:c>
      <x:c r="J14" s="2" t="s">
        <x:v>84</x:v>
      </x:c>
      <x:c r="K14" s="2" t="s">
        <x:v>26</x:v>
      </x:c>
      <x:c r="L14" s="2" t="s">
        <x:v>27</x:v>
      </x:c>
      <x:c r="M14" s="2" t="s">
        <x:v>120</x:v>
      </x:c>
      <x:c r="N14" s="4" t="s">
        <x:v>121</x:v>
      </x:c>
      <x:c r="O14" s="2" t="s">
        <x:v>122</x:v>
      </x:c>
      <x:c r="P14" s="2" t="s">
        <x:v>123</x:v>
      </x:c>
      <x:c r="Q14" s="2">
        <x:v>9550904016</x:v>
      </x:c>
      <x:c r="R14" s="88" t="n">
        <x:v>46</x:v>
      </x:c>
      <x:c r="S14" s="88" t="n">
        <x:v>18</x:v>
      </x:c>
      <x:c r="T14" s="88" t="n">
        <x:v>20</x:v>
      </x:c>
      <x:c r="U14" s="80" t="n">
        <x:v>14</x:v>
      </x:c>
      <x:c r="V14" s="88" t="n">
        <x:v>10</x:v>
      </x:c>
      <x:c r="W14" s="80" t="n">
        <x:f>SUM(R14:V14)</x:f>
        <x:v>108</x:v>
      </x:c>
      <x:c r="X14" s="98" t="n">
        <x:f>W14/115</x:f>
        <x:v>0.9391304347826087</x:v>
      </x:c>
    </x:row>
    <x:row r="15" ht="20" customHeight="1">
      <x:c r="A15" s="2" t="s">
        <x:v>17</x:v>
      </x:c>
      <x:c r="B15" s="2" t="s">
        <x:v>124</x:v>
      </x:c>
      <x:c r="C15" s="2" t="s">
        <x:v>125</x:v>
      </x:c>
      <x:c r="D15" s="2" t="s">
        <x:v>34</x:v>
      </x:c>
      <x:c r="E15" s="3">
        <x:v>46082</x:v>
      </x:c>
      <x:c r="F15" s="2" t="s">
        <x:v>126</x:v>
      </x:c>
      <x:c r="G15" s="2" t="s">
        <x:v>22</x:v>
      </x:c>
      <x:c r="H15" s="2" t="s">
        <x:v>23</x:v>
      </x:c>
      <x:c r="I15" s="2" t="s">
        <x:v>24</x:v>
      </x:c>
      <x:c r="J15" s="2" t="s">
        <x:v>84</x:v>
      </x:c>
      <x:c r="K15" s="2" t="s">
        <x:v>26</x:v>
      </x:c>
      <x:c r="L15" s="2" t="s">
        <x:v>127</x:v>
      </x:c>
      <x:c r="M15" s="2" t="s">
        <x:v>128</x:v>
      </x:c>
      <x:c r="N15" s="4" t="s">
        <x:v>129</x:v>
      </x:c>
      <x:c r="O15" s="2" t="s">
        <x:v>130</x:v>
      </x:c>
      <x:c r="P15" s="2" t="s">
        <x:v>131</x:v>
      </x:c>
      <x:c r="Q15" s="2">
        <x:v>8867085636</x:v>
      </x:c>
      <x:c r="R15" s="89" t="n">
        <x:v>46</x:v>
      </x:c>
      <x:c r="S15" s="89" t="n">
        <x:v>18</x:v>
      </x:c>
      <x:c r="T15" s="89" t="n">
        <x:v>19</x:v>
      </x:c>
      <x:c r="U15" s="84" t="n">
        <x:v>7.33</x:v>
      </x:c>
      <x:c r="V15" s="89" t="n">
        <x:v>10</x:v>
      </x:c>
      <x:c r="W15" s="84" t="n">
        <x:f>SUM(R15:V15)</x:f>
        <x:v>100.33</x:v>
      </x:c>
      <x:c r="X15" s="99" t="n">
        <x:f>W15/115</x:f>
        <x:v>0.8724347826086957</x:v>
      </x:c>
    </x:row>
    <x:row r="16" ht="20" customHeight="1">
      <x:c r="A16" s="2" t="s">
        <x:v>17</x:v>
      </x:c>
      <x:c r="B16" s="2" t="s">
        <x:v>132</x:v>
      </x:c>
      <x:c r="C16" s="2" t="s">
        <x:v>133</x:v>
      </x:c>
      <x:c r="D16" s="2" t="s">
        <x:v>34</x:v>
      </x:c>
      <x:c r="E16" s="3">
        <x:v>38758</x:v>
      </x:c>
      <x:c r="F16" s="2" t="s">
        <x:v>134</x:v>
      </x:c>
      <x:c r="G16" s="2" t="s">
        <x:v>22</x:v>
      </x:c>
      <x:c r="H16" s="2" t="s">
        <x:v>23</x:v>
      </x:c>
      <x:c r="I16" s="2" t="s">
        <x:v>24</x:v>
      </x:c>
      <x:c r="J16" s="2" t="s">
        <x:v>135</x:v>
      </x:c>
      <x:c r="K16" s="2" t="s">
        <x:v>26</x:v>
      </x:c>
      <x:c r="L16" s="2" t="s">
        <x:v>40</x:v>
      </x:c>
      <x:c r="M16" s="2" t="s">
        <x:v>56</x:v>
      </x:c>
      <x:c r="N16" s="4" t="s">
        <x:v>136</x:v>
      </x:c>
      <x:c r="O16" s="2" t="s">
        <x:v>137</x:v>
      </x:c>
      <x:c r="P16" s="2" t="s">
        <x:v>138</x:v>
      </x:c>
      <x:c r="Q16" s="2">
        <x:v>9704160293</x:v>
      </x:c>
      <x:c r="R16" s="88" t="n">
        <x:v>43</x:v>
      </x:c>
      <x:c r="S16" s="88" t="n">
        <x:v>18</x:v>
      </x:c>
      <x:c r="T16" s="88" t="n">
        <x:v>16</x:v>
      </x:c>
      <x:c r="U16" s="80" t="n">
        <x:v>13.33</x:v>
      </x:c>
      <x:c r="V16" s="88" t="n">
        <x:v>9</x:v>
      </x:c>
      <x:c r="W16" s="80" t="n">
        <x:f>SUM(R16:V16)</x:f>
        <x:v>99.33</x:v>
      </x:c>
      <x:c r="X16" s="98" t="n">
        <x:f>W16/115</x:f>
        <x:v>0.8637391304347826</x:v>
      </x:c>
    </x:row>
    <x:row r="17" ht="20" customHeight="1">
      <x:c r="A17" s="2" t="s">
        <x:v>17</x:v>
      </x:c>
      <x:c r="B17" s="2" t="s">
        <x:v>139</x:v>
      </x:c>
      <x:c r="C17" s="2" t="s">
        <x:v>140</x:v>
      </x:c>
      <x:c r="D17" s="2" t="s">
        <x:v>34</x:v>
      </x:c>
      <x:c r="E17" s="3">
        <x:v>38846</x:v>
      </x:c>
      <x:c r="F17" s="2" t="s">
        <x:v>141</x:v>
      </x:c>
      <x:c r="G17" s="2" t="s">
        <x:v>22</x:v>
      </x:c>
      <x:c r="H17" s="2" t="s">
        <x:v>23</x:v>
      </x:c>
      <x:c r="I17" s="2" t="s">
        <x:v>24</x:v>
      </x:c>
      <x:c r="J17" s="2" t="s">
        <x:v>25</x:v>
      </x:c>
      <x:c r="K17" s="2" t="s">
        <x:v>26</x:v>
      </x:c>
      <x:c r="L17" s="2" t="s">
        <x:v>27</x:v>
      </x:c>
      <x:c r="M17" s="2" t="s">
        <x:v>142</x:v>
      </x:c>
      <x:c r="N17" s="4" t="s">
        <x:v>143</x:v>
      </x:c>
      <x:c r="O17" s="2" t="s">
        <x:v>144</x:v>
      </x:c>
      <x:c r="P17" s="2" t="s">
        <x:v>145</x:v>
      </x:c>
      <x:c r="Q17" s="2">
        <x:v>8639813868</x:v>
      </x:c>
      <x:c r="R17" s="89" t="n">
        <x:v>46</x:v>
      </x:c>
      <x:c r="S17" s="89" t="n">
        <x:v>19</x:v>
      </x:c>
      <x:c r="T17" s="89" t="n">
        <x:v>20</x:v>
      </x:c>
      <x:c r="U17" s="84" t="n">
        <x:v>14</x:v>
      </x:c>
      <x:c r="V17" s="89" t="n">
        <x:v>9</x:v>
      </x:c>
      <x:c r="W17" s="84" t="n">
        <x:f>SUM(R17:V17)</x:f>
        <x:v>108</x:v>
      </x:c>
      <x:c r="X17" s="99" t="n">
        <x:f>W17/115</x:f>
        <x:v>0.9391304347826087</x:v>
      </x:c>
    </x:row>
    <x:row r="18" ht="20" customHeight="1">
      <x:c r="A18" s="2" t="s">
        <x:v>17</x:v>
      </x:c>
      <x:c r="B18" s="2" t="s">
        <x:v>146</x:v>
      </x:c>
      <x:c r="C18" s="2" t="s">
        <x:v>147</x:v>
      </x:c>
      <x:c r="D18" s="2" t="s">
        <x:v>34</x:v>
      </x:c>
      <x:c r="E18" s="3">
        <x:v>37614</x:v>
      </x:c>
      <x:c r="F18" s="2" t="s">
        <x:v>148</x:v>
      </x:c>
      <x:c r="G18" s="2" t="s">
        <x:v>36</x:v>
      </x:c>
      <x:c r="H18" s="2" t="s">
        <x:v>37</x:v>
      </x:c>
      <x:c r="I18" s="2" t="s">
        <x:v>38</x:v>
      </x:c>
      <x:c r="J18" s="2" t="s">
        <x:v>149</x:v>
      </x:c>
      <x:c r="K18" s="2" t="s">
        <x:v>26</x:v>
      </x:c>
      <x:c r="L18" s="2" t="s">
        <x:v>150</x:v>
      </x:c>
      <x:c r="M18" s="2" t="s">
        <x:v>151</x:v>
      </x:c>
      <x:c r="N18" s="4" t="s">
        <x:v>152</x:v>
      </x:c>
      <x:c r="O18" s="2" t="s">
        <x:v>153</x:v>
      </x:c>
      <x:c r="P18" s="2" t="s">
        <x:v>154</x:v>
      </x:c>
      <x:c r="Q18" s="2">
        <x:v>9696739628</x:v>
      </x:c>
      <x:c r="R18" s="88" t="n">
        <x:v>24</x:v>
      </x:c>
      <x:c r="S18" s="88" t="n">
        <x:v>17</x:v>
      </x:c>
      <x:c r="T18" s="88" t="n">
        <x:v>11</x:v>
      </x:c>
      <x:c r="U18" s="80" t="n">
        <x:v>8.33</x:v>
      </x:c>
      <x:c r="V18" s="88" t="n">
        <x:v>10</x:v>
      </x:c>
      <x:c r="W18" s="80" t="n">
        <x:f>SUM(R18:V18)</x:f>
        <x:v>70.33</x:v>
      </x:c>
      <x:c r="X18" s="98" t="n">
        <x:f>W18/115</x:f>
        <x:v>0.6115652173913043</x:v>
      </x:c>
    </x:row>
    <x:row r="19" ht="20" customHeight="1">
      <x:c r="A19" s="2" t="s">
        <x:v>17</x:v>
      </x:c>
      <x:c r="B19" s="2" t="s">
        <x:v>155</x:v>
      </x:c>
      <x:c r="C19" s="2" t="s">
        <x:v>156</x:v>
      </x:c>
      <x:c r="D19" s="2" t="s">
        <x:v>34</x:v>
      </x:c>
      <x:c r="E19" s="3">
        <x:v>38065</x:v>
      </x:c>
      <x:c r="F19" s="2" t="s">
        <x:v>157</x:v>
      </x:c>
      <x:c r="G19" s="2" t="s">
        <x:v>22</x:v>
      </x:c>
      <x:c r="H19" s="2" t="s">
        <x:v>23</x:v>
      </x:c>
      <x:c r="I19" s="2" t="s">
        <x:v>24</x:v>
      </x:c>
      <x:c r="J19" s="2" t="s">
        <x:v>158</x:v>
      </x:c>
      <x:c r="K19" s="2" t="s">
        <x:v>26</x:v>
      </x:c>
      <x:c r="L19" s="2" t="s">
        <x:v>27</x:v>
      </x:c>
      <x:c r="M19" s="2" t="s">
        <x:v>159</x:v>
      </x:c>
      <x:c r="N19" s="4" t="s">
        <x:v>160</x:v>
      </x:c>
      <x:c r="O19" s="2" t="s">
        <x:v>161</x:v>
      </x:c>
      <x:c r="P19" s="2" t="s">
        <x:v>162</x:v>
      </x:c>
      <x:c r="Q19" s="2">
        <x:v>7675087139</x:v>
      </x:c>
      <x:c r="R19" s="89" t="n">
        <x:v>41</x:v>
      </x:c>
      <x:c r="S19" s="89" t="n">
        <x:v>15</x:v>
      </x:c>
      <x:c r="T19" s="89" t="n">
        <x:v>10</x:v>
      </x:c>
      <x:c r="U19" s="84" t="n">
        <x:v>9.33</x:v>
      </x:c>
      <x:c r="V19" s="89" t="n">
        <x:v>9</x:v>
      </x:c>
      <x:c r="W19" s="84" t="n">
        <x:f>SUM(R19:V19)</x:f>
        <x:v>84.33</x:v>
      </x:c>
      <x:c r="X19" s="99" t="n">
        <x:f>W19/115</x:f>
        <x:v>0.7333043478260869</x:v>
      </x:c>
    </x:row>
    <x:row r="20" ht="20" customHeight="1">
      <x:c r="A20" s="2" t="s">
        <x:v>17</x:v>
      </x:c>
      <x:c r="B20" s="2" t="s">
        <x:v>163</x:v>
      </x:c>
      <x:c r="C20" s="2" t="s">
        <x:v>164</x:v>
      </x:c>
      <x:c r="D20" s="2" t="s">
        <x:v>20</x:v>
      </x:c>
      <x:c r="E20" s="3">
        <x:v>38502</x:v>
      </x:c>
      <x:c r="F20" s="2" t="s">
        <x:v>165</x:v>
      </x:c>
      <x:c r="G20" s="2" t="s">
        <x:v>22</x:v>
      </x:c>
      <x:c r="H20" s="2" t="s">
        <x:v>23</x:v>
      </x:c>
      <x:c r="I20" s="2" t="s">
        <x:v>24</x:v>
      </x:c>
      <x:c r="J20" s="2" t="s">
        <x:v>63</x:v>
      </x:c>
      <x:c r="K20" s="2" t="s">
        <x:v>26</x:v>
      </x:c>
      <x:c r="L20" s="2" t="s">
        <x:v>27</x:v>
      </x:c>
      <x:c r="M20" s="2" t="s">
        <x:v>166</x:v>
      </x:c>
      <x:c r="N20" s="4" t="s">
        <x:v>167</x:v>
      </x:c>
      <x:c r="O20" s="4" t="s">
        <x:v>168</x:v>
      </x:c>
      <x:c r="P20" s="2" t="s">
        <x:v>169</x:v>
      </x:c>
      <x:c r="Q20" s="2">
        <x:v>8309518442</x:v>
      </x:c>
      <x:c r="R20" s="88" t="n">
        <x:v>41</x:v>
      </x:c>
      <x:c r="S20" s="88" t="n">
        <x:v>13</x:v>
      </x:c>
      <x:c r="T20" s="88" t="n">
        <x:v>10</x:v>
      </x:c>
      <x:c r="U20" s="80" t="n">
        <x:v>10</x:v>
      </x:c>
      <x:c r="V20" s="88" t="n">
        <x:v>10</x:v>
      </x:c>
      <x:c r="W20" s="80" t="n">
        <x:f>SUM(R20:V20)</x:f>
        <x:v>84</x:v>
      </x:c>
      <x:c r="X20" s="98" t="n">
        <x:f>W20/115</x:f>
        <x:v>0.7304347826086957</x:v>
      </x:c>
    </x:row>
    <x:row r="21" ht="20" customHeight="1">
      <x:c r="A21" s="2" t="s">
        <x:v>17</x:v>
      </x:c>
      <x:c r="B21" s="2" t="s">
        <x:v>170</x:v>
      </x:c>
      <x:c r="C21" s="2" t="s">
        <x:v>171</x:v>
      </x:c>
      <x:c r="D21" s="2" t="s">
        <x:v>20</x:v>
      </x:c>
      <x:c r="E21" s="3">
        <x:v>38040</x:v>
      </x:c>
      <x:c r="F21" s="2" t="s">
        <x:v>172</x:v>
      </x:c>
      <x:c r="G21" s="2" t="s">
        <x:v>22</x:v>
      </x:c>
      <x:c r="H21" s="2" t="s">
        <x:v>23</x:v>
      </x:c>
      <x:c r="I21" s="2" t="s">
        <x:v>24</x:v>
      </x:c>
      <x:c r="J21" s="2" t="s">
        <x:v>173</x:v>
      </x:c>
      <x:c r="K21" s="2" t="s">
        <x:v>26</x:v>
      </x:c>
      <x:c r="L21" s="2" t="s">
        <x:v>27</x:v>
      </x:c>
      <x:c r="M21" s="2" t="s">
        <x:v>28</x:v>
      </x:c>
      <x:c r="N21" s="4" t="s">
        <x:v>174</x:v>
      </x:c>
      <x:c r="O21" s="4" t="s">
        <x:v>175</x:v>
      </x:c>
      <x:c r="P21" s="2" t="s">
        <x:v>176</x:v>
      </x:c>
      <x:c r="Q21" s="2">
        <x:v>9515847488</x:v>
      </x:c>
      <x:c r="R21" s="89" t="n">
        <x:v>47</x:v>
      </x:c>
      <x:c r="S21" s="89" t="n">
        <x:v>18</x:v>
      </x:c>
      <x:c r="T21" s="89" t="n">
        <x:v>19</x:v>
      </x:c>
      <x:c r="U21" s="84" t="n">
        <x:v>9.67</x:v>
      </x:c>
      <x:c r="V21" s="89" t="n">
        <x:v>10</x:v>
      </x:c>
      <x:c r="W21" s="84" t="n">
        <x:f>SUM(R21:V21)</x:f>
        <x:v>103.67</x:v>
      </x:c>
      <x:c r="X21" s="99" t="n">
        <x:f>W21/115</x:f>
        <x:v>0.9014782608695653</x:v>
      </x:c>
    </x:row>
    <x:row r="22" ht="20" customHeight="1">
      <x:c r="A22" s="2" t="s">
        <x:v>17</x:v>
      </x:c>
      <x:c r="B22" s="2" t="s">
        <x:v>177</x:v>
      </x:c>
      <x:c r="C22" s="2" t="s">
        <x:v>178</x:v>
      </x:c>
      <x:c r="D22" s="2" t="s">
        <x:v>20</x:v>
      </x:c>
      <x:c r="E22" s="3">
        <x:v>38888</x:v>
      </x:c>
      <x:c r="F22" s="2" t="s">
        <x:v>179</x:v>
      </x:c>
      <x:c r="G22" s="2" t="s">
        <x:v>22</x:v>
      </x:c>
      <x:c r="H22" s="2" t="s">
        <x:v>23</x:v>
      </x:c>
      <x:c r="I22" s="2" t="s">
        <x:v>24</x:v>
      </x:c>
      <x:c r="J22" s="2" t="s">
        <x:v>25</x:v>
      </x:c>
      <x:c r="K22" s="2" t="s">
        <x:v>26</x:v>
      </x:c>
      <x:c r="L22" s="2" t="s">
        <x:v>27</x:v>
      </x:c>
      <x:c r="M22" s="2" t="s">
        <x:v>142</x:v>
      </x:c>
      <x:c r="N22" s="4" t="s">
        <x:v>180</x:v>
      </x:c>
      <x:c r="O22" s="2" t="s">
        <x:v>181</x:v>
      </x:c>
      <x:c r="P22" s="2" t="s">
        <x:v>182</x:v>
      </x:c>
      <x:c r="Q22" s="2">
        <x:v>9346643217</x:v>
      </x:c>
      <x:c r="R22" s="88" t="n">
        <x:v>32</x:v>
      </x:c>
      <x:c r="S22" s="88" t="n">
        <x:v>18</x:v>
      </x:c>
      <x:c r="T22" s="88" t="n">
        <x:v>20</x:v>
      </x:c>
      <x:c r="U22" s="80" t="n">
        <x:v>12</x:v>
      </x:c>
      <x:c r="V22" s="88" t="n">
        <x:v>10</x:v>
      </x:c>
      <x:c r="W22" s="80" t="n">
        <x:f>SUM(R22:V22)</x:f>
        <x:v>92</x:v>
      </x:c>
      <x:c r="X22" s="98" t="n">
        <x:f>W22/115</x:f>
        <x:v>0.8</x:v>
      </x:c>
    </x:row>
    <x:row r="23" ht="20" customHeight="1">
      <x:c r="A23" s="2" t="s">
        <x:v>17</x:v>
      </x:c>
      <x:c r="B23" s="2" t="s">
        <x:v>183</x:v>
      </x:c>
      <x:c r="C23" s="2" t="s">
        <x:v>184</x:v>
      </x:c>
      <x:c r="D23" s="2" t="s">
        <x:v>20</x:v>
      </x:c>
      <x:c r="E23" s="3">
        <x:v>38670</x:v>
      </x:c>
      <x:c r="F23" s="2" t="s">
        <x:v>185</x:v>
      </x:c>
      <x:c r="G23" s="2" t="s">
        <x:v>22</x:v>
      </x:c>
      <x:c r="H23" s="2" t="s">
        <x:v>23</x:v>
      </x:c>
      <x:c r="I23" s="2" t="s">
        <x:v>24</x:v>
      </x:c>
      <x:c r="J23" s="2" t="s">
        <x:v>84</x:v>
      </x:c>
      <x:c r="K23" s="2" t="s">
        <x:v>26</x:v>
      </x:c>
      <x:c r="L23" s="2" t="s">
        <x:v>27</x:v>
      </x:c>
      <x:c r="M23" s="2" t="s">
        <x:v>186</x:v>
      </x:c>
      <x:c r="N23" s="4" t="s">
        <x:v>187</x:v>
      </x:c>
      <x:c r="O23" s="2" t="s">
        <x:v>188</x:v>
      </x:c>
      <x:c r="P23" s="2" t="s">
        <x:v>189</x:v>
      </x:c>
      <x:c r="Q23" s="2">
        <x:v>9346223536</x:v>
      </x:c>
      <x:c r="R23" s="89" t="n">
        <x:v>47</x:v>
      </x:c>
      <x:c r="S23" s="89" t="n">
        <x:v>20</x:v>
      </x:c>
      <x:c r="T23" s="89" t="n">
        <x:v>19</x:v>
      </x:c>
      <x:c r="U23" s="84" t="n">
        <x:v>12</x:v>
      </x:c>
      <x:c r="V23" s="89" t="n">
        <x:v>10</x:v>
      </x:c>
      <x:c r="W23" s="84" t="n">
        <x:f>SUM(R23:V23)</x:f>
        <x:v>108</x:v>
      </x:c>
      <x:c r="X23" s="99" t="n">
        <x:f>W23/115</x:f>
        <x:v>0.9391304347826087</x:v>
      </x:c>
    </x:row>
    <x:row r="24" ht="20" customHeight="1">
      <x:c r="A24" s="2" t="s">
        <x:v>17</x:v>
      </x:c>
      <x:c r="B24" s="2" t="s">
        <x:v>190</x:v>
      </x:c>
      <x:c r="C24" s="2" t="s">
        <x:v>191</x:v>
      </x:c>
      <x:c r="D24" s="2" t="s">
        <x:v>20</x:v>
      </x:c>
      <x:c r="E24" s="3">
        <x:v>38521</x:v>
      </x:c>
      <x:c r="F24" s="2" t="s">
        <x:v>192</x:v>
      </x:c>
      <x:c r="G24" s="2" t="s">
        <x:v>22</x:v>
      </x:c>
      <x:c r="H24" s="2" t="s">
        <x:v>23</x:v>
      </x:c>
      <x:c r="I24" s="2" t="s">
        <x:v>24</x:v>
      </x:c>
      <x:c r="J24" s="2" t="s">
        <x:v>63</x:v>
      </x:c>
      <x:c r="K24" s="2" t="s">
        <x:v>26</x:v>
      </x:c>
      <x:c r="L24" s="2" t="s">
        <x:v>27</x:v>
      </x:c>
      <x:c r="M24" s="2" t="s">
        <x:v>193</x:v>
      </x:c>
      <x:c r="N24" s="4" t="s">
        <x:v>194</x:v>
      </x:c>
      <x:c r="O24" s="2" t="s">
        <x:v>195</x:v>
      </x:c>
      <x:c r="P24" s="2" t="s">
        <x:v>196</x:v>
      </x:c>
      <x:c r="Q24" s="2">
        <x:v>8309689021</x:v>
      </x:c>
      <x:c r="R24" s="88" t="n">
        <x:v>40</x:v>
      </x:c>
      <x:c r="S24" s="88" t="n">
        <x:v>15</x:v>
      </x:c>
      <x:c r="T24" s="88" t="n">
        <x:v>16</x:v>
      </x:c>
      <x:c r="U24" s="80" t="n">
        <x:v>15</x:v>
      </x:c>
      <x:c r="V24" s="88" t="n">
        <x:v>10</x:v>
      </x:c>
      <x:c r="W24" s="80" t="n">
        <x:f>SUM(R24:V24)</x:f>
        <x:v>96</x:v>
      </x:c>
      <x:c r="X24" s="98" t="n">
        <x:f>W24/115</x:f>
        <x:v>0.8347826086956521</x:v>
      </x:c>
    </x:row>
    <x:row r="25" ht="20" customHeight="1">
      <x:c r="A25" s="2" t="s">
        <x:v>17</x:v>
      </x:c>
      <x:c r="B25" s="2" t="s">
        <x:v>197</x:v>
      </x:c>
      <x:c r="C25" s="2" t="s">
        <x:v>198</x:v>
      </x:c>
      <x:c r="D25" s="2" t="s">
        <x:v>34</x:v>
      </x:c>
      <x:c r="E25" s="3">
        <x:v>38150</x:v>
      </x:c>
      <x:c r="F25" s="2" t="s">
        <x:v>199</x:v>
      </x:c>
      <x:c r="G25" s="2" t="s">
        <x:v>22</x:v>
      </x:c>
      <x:c r="H25" s="2" t="s">
        <x:v>37</x:v>
      </x:c>
      <x:c r="I25" s="2" t="s">
        <x:v>38</x:v>
      </x:c>
      <x:c r="J25" s="2" t="s">
        <x:v>200</x:v>
      </x:c>
      <x:c r="K25" s="2" t="s">
        <x:v>26</x:v>
      </x:c>
      <x:c r="L25" s="2" t="s">
        <x:v>40</x:v>
      </x:c>
      <x:c r="M25" s="2" t="s">
        <x:v>71</x:v>
      </x:c>
      <x:c r="N25" s="4" t="s">
        <x:v>201</x:v>
      </x:c>
      <x:c r="O25" s="4" t="s">
        <x:v>202</x:v>
      </x:c>
      <x:c r="P25" s="2" t="s">
        <x:v>203</x:v>
      </x:c>
      <x:c r="Q25" s="2">
        <x:v>8008345825</x:v>
      </x:c>
      <x:c r="R25" s="89" t="n">
        <x:v>24</x:v>
      </x:c>
      <x:c r="S25" s="89" t="n">
        <x:v>15</x:v>
      </x:c>
      <x:c r="T25" s="89" t="n">
        <x:v>13</x:v>
      </x:c>
      <x:c r="U25" s="84" t="n">
        <x:v>12</x:v>
      </x:c>
      <x:c r="V25" s="89" t="n">
        <x:v>10</x:v>
      </x:c>
      <x:c r="W25" s="84" t="n">
        <x:f>SUM(R25:V25)</x:f>
        <x:v>74</x:v>
      </x:c>
      <x:c r="X25" s="99" t="n">
        <x:f>W25/115</x:f>
        <x:v>0.6434782608695652</x:v>
      </x:c>
    </x:row>
    <x:row r="26" ht="20" customHeight="1">
      <x:c r="A26" s="2" t="s">
        <x:v>17</x:v>
      </x:c>
      <x:c r="B26" s="2" t="s">
        <x:v>204</x:v>
      </x:c>
      <x:c r="C26" s="2" t="s">
        <x:v>205</x:v>
      </x:c>
      <x:c r="D26" s="2" t="s">
        <x:v>34</x:v>
      </x:c>
      <x:c r="E26" s="3">
        <x:v>37795</x:v>
      </x:c>
      <x:c r="F26" s="2" t="s">
        <x:v>206</x:v>
      </x:c>
      <x:c r="G26" s="2" t="s">
        <x:v>22</x:v>
      </x:c>
      <x:c r="H26" s="2" t="s">
        <x:v>23</x:v>
      </x:c>
      <x:c r="I26" s="2" t="s">
        <x:v>24</x:v>
      </x:c>
      <x:c r="J26" s="2" t="s">
        <x:v>207</x:v>
      </x:c>
      <x:c r="K26" s="2" t="s">
        <x:v>26</x:v>
      </x:c>
      <x:c r="L26" s="2" t="s">
        <x:v>40</x:v>
      </x:c>
      <x:c r="M26" s="2" t="s">
        <x:v>208</x:v>
      </x:c>
      <x:c r="N26" s="4" t="s">
        <x:v>209</x:v>
      </x:c>
      <x:c r="O26" s="4" t="s">
        <x:v>210</x:v>
      </x:c>
      <x:c r="P26" s="2" t="s">
        <x:v>211</x:v>
      </x:c>
      <x:c r="Q26" s="2">
        <x:v>9866238488</x:v>
      </x:c>
      <x:c r="R26" s="88" t="n">
        <x:v>47</x:v>
      </x:c>
      <x:c r="S26" s="88" t="n">
        <x:v>20</x:v>
      </x:c>
      <x:c r="T26" s="88" t="n">
        <x:v>19</x:v>
      </x:c>
      <x:c r="U26" s="80" t="n">
        <x:v>13</x:v>
      </x:c>
      <x:c r="V26" s="88" t="n">
        <x:v>10</x:v>
      </x:c>
      <x:c r="W26" s="80" t="n">
        <x:f>SUM(R26:V26)</x:f>
        <x:v>109</x:v>
      </x:c>
      <x:c r="X26" s="98" t="n">
        <x:f>W26/115</x:f>
        <x:v>0.9478260869565217</x:v>
      </x:c>
    </x:row>
    <x:row r="27" ht="20" customHeight="1">
      <x:c r="A27" s="2" t="s">
        <x:v>17</x:v>
      </x:c>
      <x:c r="B27" s="2" t="s">
        <x:v>212</x:v>
      </x:c>
      <x:c r="C27" s="2" t="s">
        <x:v>213</x:v>
      </x:c>
      <x:c r="D27" s="2" t="s">
        <x:v>20</x:v>
      </x:c>
      <x:c r="E27" s="3">
        <x:v>37603</x:v>
      </x:c>
      <x:c r="F27" s="2" t="s">
        <x:v>214</x:v>
      </x:c>
      <x:c r="G27" s="2" t="s">
        <x:v>36</x:v>
      </x:c>
      <x:c r="H27" s="2" t="s">
        <x:v>37</x:v>
      </x:c>
      <x:c r="I27" s="2" t="s">
        <x:v>38</x:v>
      </x:c>
      <x:c r="J27" s="2">
        <x:v>2027</x:v>
      </x:c>
      <x:c r="K27" s="2" t="s">
        <x:v>26</x:v>
      </x:c>
      <x:c r="L27" s="2" t="s">
        <x:v>40</x:v>
      </x:c>
      <x:c r="M27" s="2" t="s">
        <x:v>215</x:v>
      </x:c>
      <x:c r="N27" s="2" t="s">
        <x:v>216</x:v>
      </x:c>
      <x:c r="O27" s="2" t="s">
        <x:v>217</x:v>
      </x:c>
      <x:c r="P27" s="2" t="s">
        <x:v>218</x:v>
      </x:c>
      <x:c r="Q27" s="2">
        <x:v>8500511492</x:v>
      </x:c>
      <x:c r="R27" s="89" t="n">
        <x:v>33</x:v>
      </x:c>
      <x:c r="S27" s="89" t="n">
        <x:v>14</x:v>
      </x:c>
      <x:c r="T27" s="89" t="n">
        <x:v>10</x:v>
      </x:c>
      <x:c r="U27" s="84" t="n">
        <x:v>12</x:v>
      </x:c>
      <x:c r="V27" s="89" t="n">
        <x:v>9</x:v>
      </x:c>
      <x:c r="W27" s="84" t="n">
        <x:f>SUM(R27:V27)</x:f>
        <x:v>78</x:v>
      </x:c>
      <x:c r="X27" s="99" t="n">
        <x:f>W27/115</x:f>
        <x:v>0.6782608695652174</x:v>
      </x:c>
    </x:row>
    <x:row r="28" ht="20" customHeight="1">
      <x:c r="A28" s="2" t="s">
        <x:v>17</x:v>
      </x:c>
      <x:c r="B28" s="2" t="s">
        <x:v>219</x:v>
      </x:c>
      <x:c r="C28" s="2" t="s">
        <x:v>220</x:v>
      </x:c>
      <x:c r="D28" s="2" t="s">
        <x:v>34</x:v>
      </x:c>
      <x:c r="E28" s="3">
        <x:v>38543</x:v>
      </x:c>
      <x:c r="F28" s="2" t="s">
        <x:v>221</x:v>
      </x:c>
      <x:c r="G28" s="2" t="s">
        <x:v>22</x:v>
      </x:c>
      <x:c r="H28" s="2" t="s">
        <x:v>23</x:v>
      </x:c>
      <x:c r="I28" s="2" t="s">
        <x:v>24</x:v>
      </x:c>
      <x:c r="J28" s="2" t="s">
        <x:v>84</x:v>
      </x:c>
      <x:c r="K28" s="2" t="s">
        <x:v>26</x:v>
      </x:c>
      <x:c r="L28" s="2" t="s">
        <x:v>27</x:v>
      </x:c>
      <x:c r="M28" s="2" t="s">
        <x:v>222</x:v>
      </x:c>
      <x:c r="N28" s="4" t="s">
        <x:v>223</x:v>
      </x:c>
      <x:c r="O28" s="4" t="s">
        <x:v>224</x:v>
      </x:c>
      <x:c r="P28" s="2" t="s">
        <x:v>225</x:v>
      </x:c>
      <x:c r="Q28" s="2">
        <x:v>9398243417</x:v>
      </x:c>
      <x:c r="R28" s="88" t="n">
        <x:v>42</x:v>
      </x:c>
      <x:c r="S28" s="88" t="n">
        <x:v>17</x:v>
      </x:c>
      <x:c r="T28" s="88" t="n">
        <x:v>18</x:v>
      </x:c>
      <x:c r="U28" s="80" t="n">
        <x:v>10.33</x:v>
      </x:c>
      <x:c r="V28" s="88" t="n">
        <x:v>7</x:v>
      </x:c>
      <x:c r="W28" s="80" t="n">
        <x:f>SUM(R28:V28)</x:f>
        <x:v>94.33</x:v>
      </x:c>
      <x:c r="X28" s="98" t="n">
        <x:f>W28/115</x:f>
        <x:v>0.8202608695652174</x:v>
      </x:c>
    </x:row>
  </x:sheetData>
  <x:hyperlinks>
    <x:hyperlink xmlns:r="http://schemas.openxmlformats.org/officeDocument/2006/relationships" ref="N2" r:id="R6b6c36ae293e4f63"/>
    <x:hyperlink xmlns:r="http://schemas.openxmlformats.org/officeDocument/2006/relationships" ref="O2" r:id="Red78ff9613ac4378"/>
    <x:hyperlink xmlns:r="http://schemas.openxmlformats.org/officeDocument/2006/relationships" ref="N3" r:id="R90ec9bc8051543d2"/>
    <x:hyperlink xmlns:r="http://schemas.openxmlformats.org/officeDocument/2006/relationships" ref="N4" r:id="Rcdb87096e6454fa2"/>
    <x:hyperlink xmlns:r="http://schemas.openxmlformats.org/officeDocument/2006/relationships" ref="O4" r:id="R662ce1c388cc465e"/>
    <x:hyperlink xmlns:r="http://schemas.openxmlformats.org/officeDocument/2006/relationships" ref="N5" r:id="R0f675d10a2934237"/>
    <x:hyperlink xmlns:r="http://schemas.openxmlformats.org/officeDocument/2006/relationships" ref="N6" r:id="Racb0536fd2a347e8"/>
    <x:hyperlink xmlns:r="http://schemas.openxmlformats.org/officeDocument/2006/relationships" ref="N7" r:id="R3008c9b94c7a43d0"/>
    <x:hyperlink xmlns:r="http://schemas.openxmlformats.org/officeDocument/2006/relationships" ref="N8" r:id="Rf7cd3bc1f3f0454a"/>
    <x:hyperlink xmlns:r="http://schemas.openxmlformats.org/officeDocument/2006/relationships" ref="N9" r:id="R8b4f82edd6e543a8"/>
    <x:hyperlink xmlns:r="http://schemas.openxmlformats.org/officeDocument/2006/relationships" ref="N10" r:id="R41d262e3d33640ba"/>
    <x:hyperlink xmlns:r="http://schemas.openxmlformats.org/officeDocument/2006/relationships" ref="O10" r:id="R2d48f3a0f1184643"/>
    <x:hyperlink xmlns:r="http://schemas.openxmlformats.org/officeDocument/2006/relationships" ref="N12" r:id="R2d4ad2128dbe41e1"/>
    <x:hyperlink xmlns:r="http://schemas.openxmlformats.org/officeDocument/2006/relationships" ref="N13" r:id="R41effbf6ebd74e17"/>
    <x:hyperlink xmlns:r="http://schemas.openxmlformats.org/officeDocument/2006/relationships" ref="N14" r:id="R8044c1fcd04540de"/>
    <x:hyperlink xmlns:r="http://schemas.openxmlformats.org/officeDocument/2006/relationships" ref="N15" r:id="Rd95eaa2449ab493d"/>
    <x:hyperlink xmlns:r="http://schemas.openxmlformats.org/officeDocument/2006/relationships" ref="N16" r:id="Rdb76c8bf21ae4466"/>
    <x:hyperlink xmlns:r="http://schemas.openxmlformats.org/officeDocument/2006/relationships" ref="N17" r:id="R55c4e0f5a7fb4945"/>
    <x:hyperlink xmlns:r="http://schemas.openxmlformats.org/officeDocument/2006/relationships" ref="N18" r:id="Rbdb0ef4dd28b4608"/>
    <x:hyperlink xmlns:r="http://schemas.openxmlformats.org/officeDocument/2006/relationships" ref="N19" r:id="R939ff96a9293475b"/>
    <x:hyperlink xmlns:r="http://schemas.openxmlformats.org/officeDocument/2006/relationships" ref="N20" r:id="R40d7d0ee3d014e0d"/>
    <x:hyperlink xmlns:r="http://schemas.openxmlformats.org/officeDocument/2006/relationships" ref="O20" r:id="R7897e605a2ea46d0"/>
    <x:hyperlink xmlns:r="http://schemas.openxmlformats.org/officeDocument/2006/relationships" ref="N21" r:id="Rb383b4424f2f46ef"/>
    <x:hyperlink xmlns:r="http://schemas.openxmlformats.org/officeDocument/2006/relationships" ref="O21" r:id="R1664250713f748c0"/>
    <x:hyperlink xmlns:r="http://schemas.openxmlformats.org/officeDocument/2006/relationships" ref="N22" r:id="Rda3f27e686d54302"/>
    <x:hyperlink xmlns:r="http://schemas.openxmlformats.org/officeDocument/2006/relationships" ref="N23" r:id="Rc870bd72dbc944c1"/>
    <x:hyperlink xmlns:r="http://schemas.openxmlformats.org/officeDocument/2006/relationships" ref="N24" r:id="Rfd07bcaf5f874c97"/>
    <x:hyperlink xmlns:r="http://schemas.openxmlformats.org/officeDocument/2006/relationships" ref="N25" r:id="Re0a1cefa817d4e03"/>
    <x:hyperlink xmlns:r="http://schemas.openxmlformats.org/officeDocument/2006/relationships" ref="O25" r:id="Re1c72a48b4184137"/>
    <x:hyperlink xmlns:r="http://schemas.openxmlformats.org/officeDocument/2006/relationships" ref="N26" r:id="R40f39bac571e421d"/>
    <x:hyperlink xmlns:r="http://schemas.openxmlformats.org/officeDocument/2006/relationships" ref="O26" r:id="R34175393a99d44eb"/>
    <x:hyperlink xmlns:r="http://schemas.openxmlformats.org/officeDocument/2006/relationships" ref="N28" r:id="R05953d52bfb544d0"/>
    <x:hyperlink xmlns:r="http://schemas.openxmlformats.org/officeDocument/2006/relationships" ref="O28" r:id="R2dab4844d9aa477e"/>
  </x:hyperlinks>
  <x:pageMargins left="0.7" right="0.7" top="0.75" bottom="0.75" header="0.3" footer="0.3"/>
  <x:tableParts count="1">
    <x:tablePart xmlns:r="http://schemas.openxmlformats.org/officeDocument/2006/relationships" r:id="Rb661da62c13442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3" hidden="0" customWidth="1"/>
    <x:col min="10" max="10" width="13" hidden="0" customWidth="1"/>
  </x:cols>
  <x:sheetData>
    <x:row r="1" ht="24" customHeight="1">
      <x:c r="A1" s="70" t="str">
        <x:v>S.No.</x:v>
      </x:c>
      <x:c r="B1" s="71" t="str">
        <x:v>Student Name</x:v>
      </x:c>
      <x:c r="C1" s="71" t="str">
        <x:v>Email</x:v>
      </x:c>
      <x:c r="D1" s="71" t="str">
        <x:v>Admission Test /50</x:v>
      </x:c>
      <x:c r="E1" s="71" t="str">
        <x:v>Module 1 Quiz /20</x:v>
      </x:c>
      <x:c r="F1" s="71" t="str">
        <x:v>Module 2 RTL /20</x:v>
      </x:c>
      <x:c r="G1" s="71" t="str">
        <x:v>Module 3 SV &amp; UVM /15</x:v>
      </x:c>
      <x:c r="H1" s="71" t="str">
        <x:v>Module 4 DFT /10</x:v>
      </x:c>
      <x:c r="I1" s="72" t="str">
        <x:v>Total /115</x:v>
      </x:c>
      <x:c r="J1" s="77" t="str">
        <x:v>Overall %</x:v>
      </x:c>
    </x:row>
    <x:row r="2" ht="20" customHeight="1">
      <x:c r="A2" s="78" t="n">
        <x:v>1</x:v>
      </x:c>
      <x:c r="B2" s="86" t="str">
        <x:v>VAJJA UMADEVI</x:v>
      </x:c>
      <x:c r="C2" s="86" t="str">
        <x:v>umadevivajjag226vlsi@gmail.com</x:v>
      </x:c>
      <x:c r="D2" s="88" t="n">
        <x:v>48</x:v>
      </x:c>
      <x:c r="E2" s="88" t="n">
        <x:v>14</x:v>
      </x:c>
      <x:c r="F2" s="88" t="n">
        <x:v>13</x:v>
      </x:c>
      <x:c r="G2" s="80" t="n">
        <x:v>6.33</x:v>
      </x:c>
      <x:c r="H2" s="88" t="n">
        <x:v>9</x:v>
      </x:c>
      <x:c r="I2" s="80" t="n">
        <x:f>SUM(D2:H2)</x:f>
        <x:v>90.33</x:v>
      </x:c>
      <x:c r="J2" s="91" t="n">
        <x:f>I2/115</x:f>
        <x:v>0.7854782608695652</x:v>
      </x:c>
    </x:row>
    <x:row r="3" ht="20" customHeight="1">
      <x:c r="A3" s="82" t="n">
        <x:v>2</x:v>
      </x:c>
      <x:c r="B3" s="87" t="str">
        <x:v>MAKTHAL RAHUL RAO</x:v>
      </x:c>
      <x:c r="C3" s="87" t="str">
        <x:v>makthalrahulrao21@gmail.com</x:v>
      </x:c>
      <x:c r="D3" s="89" t="n">
        <x:v>44</x:v>
      </x:c>
      <x:c r="E3" s="89" t="n">
        <x:v>18</x:v>
      </x:c>
      <x:c r="F3" s="89" t="n">
        <x:v>20</x:v>
      </x:c>
      <x:c r="G3" s="84" t="n">
        <x:v>12.33</x:v>
      </x:c>
      <x:c r="H3" s="89" t="n">
        <x:v>9</x:v>
      </x:c>
      <x:c r="I3" s="84" t="n">
        <x:f>SUM(D3:H3)</x:f>
        <x:v>103.33</x:v>
      </x:c>
      <x:c r="J3" s="91" t="n">
        <x:f>I3/115</x:f>
        <x:v>0.8985217391304348</x:v>
      </x:c>
    </x:row>
    <x:row r="4" ht="20" customHeight="1">
      <x:c r="A4" s="78" t="n">
        <x:v>3</x:v>
      </x:c>
      <x:c r="B4" s="86" t="str">
        <x:v>Marri Kruthik</x:v>
      </x:c>
      <x:c r="C4" s="86" t="str">
        <x:v>marrivamshi071@gmail.com</x:v>
      </x:c>
      <x:c r="D4" s="88" t="n">
        <x:v>41</x:v>
      </x:c>
      <x:c r="E4" s="88" t="n">
        <x:v>18</x:v>
      </x:c>
      <x:c r="F4" s="88" t="n">
        <x:v>19</x:v>
      </x:c>
      <x:c r="G4" s="80" t="n">
        <x:v>11.33</x:v>
      </x:c>
      <x:c r="H4" s="88" t="n">
        <x:v>10</x:v>
      </x:c>
      <x:c r="I4" s="80" t="n">
        <x:f>SUM(D4:H4)</x:f>
        <x:v>99.33</x:v>
      </x:c>
      <x:c r="J4" s="91" t="n">
        <x:f>I4/115</x:f>
        <x:v>0.8637391304347826</x:v>
      </x:c>
    </x:row>
    <x:row r="5" ht="20" customHeight="1">
      <x:c r="A5" s="82" t="n">
        <x:v>4</x:v>
      </x:c>
      <x:c r="B5" s="87" t="str">
        <x:v>GB SAI CHARAN</x:v>
      </x:c>
      <x:c r="C5" s="87" t="str">
        <x:v>gbsaicharan@gmail.com</x:v>
      </x:c>
      <x:c r="D5" s="89" t="n">
        <x:v>46</x:v>
      </x:c>
      <x:c r="E5" s="89" t="n">
        <x:v>19</x:v>
      </x:c>
      <x:c r="F5" s="89" t="n">
        <x:v>18</x:v>
      </x:c>
      <x:c r="G5" s="84" t="n">
        <x:v>9.33</x:v>
      </x:c>
      <x:c r="H5" s="89" t="n">
        <x:v>10</x:v>
      </x:c>
      <x:c r="I5" s="84" t="n">
        <x:f>SUM(D5:H5)</x:f>
        <x:v>102.33</x:v>
      </x:c>
      <x:c r="J5" s="91" t="n">
        <x:f>I5/115</x:f>
        <x:v>0.8898260869565218</x:v>
      </x:c>
    </x:row>
    <x:row r="6" ht="20" customHeight="1">
      <x:c r="A6" s="78" t="n">
        <x:v>5</x:v>
      </x:c>
      <x:c r="B6" s="86" t="str">
        <x:v>BATTALA REDDY AKSHAYA</x:v>
      </x:c>
      <x:c r="C6" s="86" t="str">
        <x:v>battalareddyakshayag226vlsi@gmail.com</x:v>
      </x:c>
      <x:c r="D6" s="88" t="n">
        <x:v>47</x:v>
      </x:c>
      <x:c r="E6" s="88" t="n">
        <x:v>18</x:v>
      </x:c>
      <x:c r="F6" s="88" t="n">
        <x:v>19</x:v>
      </x:c>
      <x:c r="G6" s="80" t="n">
        <x:v>12</x:v>
      </x:c>
      <x:c r="H6" s="88" t="n">
        <x:v>10</x:v>
      </x:c>
      <x:c r="I6" s="80" t="n">
        <x:f>SUM(D6:H6)</x:f>
        <x:v>106</x:v>
      </x:c>
      <x:c r="J6" s="92" t="n">
        <x:f>I6/115</x:f>
        <x:v>0.9217391304347826</x:v>
      </x:c>
    </x:row>
    <x:row r="7" ht="20" customHeight="1">
      <x:c r="A7" s="82" t="n">
        <x:v>6</x:v>
      </x:c>
      <x:c r="B7" s="87" t="str">
        <x:v>Sai Teja Daduvai</x:v>
      </x:c>
      <x:c r="C7" s="87" t="str">
        <x:v>daduvaisaitejag226vlsi@gmail.com</x:v>
      </x:c>
      <x:c r="D7" s="89" t="n">
        <x:v>46</x:v>
      </x:c>
      <x:c r="E7" s="89" t="n">
        <x:v>18</x:v>
      </x:c>
      <x:c r="F7" s="89" t="n">
        <x:v>20</x:v>
      </x:c>
      <x:c r="G7" s="84" t="n">
        <x:v>13</x:v>
      </x:c>
      <x:c r="H7" s="89" t="n">
        <x:v>10</x:v>
      </x:c>
      <x:c r="I7" s="84" t="n">
        <x:f>SUM(D7:H7)</x:f>
        <x:v>107</x:v>
      </x:c>
      <x:c r="J7" s="92" t="n">
        <x:f>I7/115</x:f>
        <x:v>0.9304347826086956</x:v>
      </x:c>
    </x:row>
    <x:row r="8" ht="20" customHeight="1">
      <x:c r="A8" s="78" t="n">
        <x:v>7</x:v>
      </x:c>
      <x:c r="B8" s="86" t="str">
        <x:v>RAVINDRANATH KURUBA</x:v>
      </x:c>
      <x:c r="C8" s="86" t="str">
        <x:v>ramanji1719@gmail.com</x:v>
      </x:c>
      <x:c r="D8" s="88" t="n">
        <x:v>46</x:v>
      </x:c>
      <x:c r="E8" s="88" t="n">
        <x:v>18</x:v>
      </x:c>
      <x:c r="F8" s="88" t="n">
        <x:v>20</x:v>
      </x:c>
      <x:c r="G8" s="80" t="n">
        <x:v>13.33</x:v>
      </x:c>
      <x:c r="H8" s="88" t="n">
        <x:v>9</x:v>
      </x:c>
      <x:c r="I8" s="80" t="n">
        <x:f>SUM(D8:H8)</x:f>
        <x:v>106.33</x:v>
      </x:c>
      <x:c r="J8" s="92" t="n">
        <x:f>I8/115</x:f>
        <x:v>0.9246086956521739</x:v>
      </x:c>
    </x:row>
    <x:row r="9" ht="20" customHeight="1">
      <x:c r="A9" s="82" t="n">
        <x:v>8</x:v>
      </x:c>
      <x:c r="B9" s="87" t="str">
        <x:v>Jasmeen Kaur</x:v>
      </x:c>
      <x:c r="C9" s="87" t="str">
        <x:v>jasmeenkaurg226vlsi@gmail.com</x:v>
      </x:c>
      <x:c r="D9" s="89" t="n">
        <x:v>36</x:v>
      </x:c>
      <x:c r="E9" s="89" t="n">
        <x:v>15</x:v>
      </x:c>
      <x:c r="F9" s="89" t="n">
        <x:v>17</x:v>
      </x:c>
      <x:c r="G9" s="84" t="n">
        <x:v>11.33</x:v>
      </x:c>
      <x:c r="H9" s="89" t="n">
        <x:v>10</x:v>
      </x:c>
      <x:c r="I9" s="84" t="n">
        <x:f>SUM(D9:H9)</x:f>
        <x:v>89.33</x:v>
      </x:c>
      <x:c r="J9" s="91" t="n">
        <x:f>I9/115</x:f>
        <x:v>0.7767826086956522</x:v>
      </x:c>
    </x:row>
    <x:row r="10" ht="20" customHeight="1">
      <x:c r="A10" s="78" t="n">
        <x:v>9</x:v>
      </x:c>
      <x:c r="B10" s="86" t="str">
        <x:v>Ramya Mounika Aravapalli</x:v>
      </x:c>
      <x:c r="C10" s="86" t="str">
        <x:v>ramyaaravapalli19@gmail.com</x:v>
      </x:c>
      <x:c r="D10" s="88" t="n">
        <x:v>42</x:v>
      </x:c>
      <x:c r="E10" s="88" t="n">
        <x:v>19</x:v>
      </x:c>
      <x:c r="F10" s="88" t="n">
        <x:v>20</x:v>
      </x:c>
      <x:c r="G10" s="80" t="n">
        <x:v>10</x:v>
      </x:c>
      <x:c r="H10" s="88" t="n">
        <x:v>10</x:v>
      </x:c>
      <x:c r="I10" s="80" t="n">
        <x:f>SUM(D10:H10)</x:f>
        <x:v>101</x:v>
      </x:c>
      <x:c r="J10" s="91" t="n">
        <x:f>I10/115</x:f>
        <x:v>0.8782608695652174</x:v>
      </x:c>
    </x:row>
    <x:row r="11" ht="20" customHeight="1">
      <x:c r="A11" s="82" t="n">
        <x:v>10</x:v>
      </x:c>
      <x:c r="B11" s="87" t="str">
        <x:v>Sri Lakshmi Rapuru</x:v>
      </x:c>
      <x:c r="C11" s="87" t="str">
        <x:v>srilakshmirapuru@gmail.com</x:v>
      </x:c>
      <x:c r="D11" s="89" t="n">
        <x:v>29</x:v>
      </x:c>
      <x:c r="E11" s="89" t="n">
        <x:v>19</x:v>
      </x:c>
      <x:c r="F11" s="89" t="n">
        <x:v>17</x:v>
      </x:c>
      <x:c r="G11" s="84" t="n">
        <x:v>11</x:v>
      </x:c>
      <x:c r="H11" s="89" t="n">
        <x:v>8</x:v>
      </x:c>
      <x:c r="I11" s="84" t="n">
        <x:f>SUM(D11:H11)</x:f>
        <x:v>84</x:v>
      </x:c>
      <x:c r="J11" s="93" t="n">
        <x:f>I11/115</x:f>
        <x:v>0.7304347826086957</x:v>
      </x:c>
    </x:row>
    <x:row r="12" ht="20" customHeight="1">
      <x:c r="A12" s="78" t="n">
        <x:v>11</x:v>
      </x:c>
      <x:c r="B12" s="86" t="str">
        <x:v>Likitha Padige</x:v>
      </x:c>
      <x:c r="C12" s="86" t="str">
        <x:v>likitha.g2.26.vlsi@gmail.com</x:v>
      </x:c>
      <x:c r="D12" s="88" t="n">
        <x:v>35</x:v>
      </x:c>
      <x:c r="E12" s="88" t="n">
        <x:v>15</x:v>
      </x:c>
      <x:c r="F12" s="88" t="n">
        <x:v>9</x:v>
      </x:c>
      <x:c r="G12" s="80" t="n">
        <x:v>7</x:v>
      </x:c>
      <x:c r="H12" s="88" t="n">
        <x:v>8</x:v>
      </x:c>
      <x:c r="I12" s="80" t="n">
        <x:f>SUM(D12:H12)</x:f>
        <x:v>74</x:v>
      </x:c>
      <x:c r="J12" s="93" t="n">
        <x:f>I12/115</x:f>
        <x:v>0.6434782608695652</x:v>
      </x:c>
    </x:row>
    <x:row r="13" ht="20" customHeight="1">
      <x:c r="A13" s="82" t="n">
        <x:v>12</x:v>
      </x:c>
      <x:c r="B13" s="87" t="str">
        <x:v>Yepuganti Anji Babu</x:v>
      </x:c>
      <x:c r="C13" s="87" t="str">
        <x:v>yepugantianji@gmail.com</x:v>
      </x:c>
      <x:c r="D13" s="89" t="n">
        <x:v>35</x:v>
      </x:c>
      <x:c r="E13" s="89" t="n">
        <x:v>16</x:v>
      </x:c>
      <x:c r="F13" s="89" t="n">
        <x:v>13</x:v>
      </x:c>
      <x:c r="G13" s="84" t="n">
        <x:v>12</x:v>
      </x:c>
      <x:c r="H13" s="89" t="n">
        <x:v>9</x:v>
      </x:c>
      <x:c r="I13" s="84" t="n">
        <x:f>SUM(D13:H13)</x:f>
        <x:v>85</x:v>
      </x:c>
      <x:c r="J13" s="93" t="n">
        <x:f>I13/115</x:f>
        <x:v>0.7391304347826086</x:v>
      </x:c>
    </x:row>
    <x:row r="14" ht="20" customHeight="1">
      <x:c r="A14" s="78" t="n">
        <x:v>13</x:v>
      </x:c>
      <x:c r="B14" s="86" t="str">
        <x:v>THUPAKULA GOWTHAM KUMAR</x:v>
      </x:c>
      <x:c r="C14" s="86" t="str">
        <x:v>gowthamthupaakula9550@gmail.com</x:v>
      </x:c>
      <x:c r="D14" s="88" t="n">
        <x:v>46</x:v>
      </x:c>
      <x:c r="E14" s="88" t="n">
        <x:v>18</x:v>
      </x:c>
      <x:c r="F14" s="88" t="n">
        <x:v>20</x:v>
      </x:c>
      <x:c r="G14" s="80" t="n">
        <x:v>14</x:v>
      </x:c>
      <x:c r="H14" s="88" t="n">
        <x:v>10</x:v>
      </x:c>
      <x:c r="I14" s="80" t="n">
        <x:f>SUM(D14:H14)</x:f>
        <x:v>108</x:v>
      </x:c>
      <x:c r="J14" s="92" t="n">
        <x:f>I14/115</x:f>
        <x:v>0.9391304347826087</x:v>
      </x:c>
    </x:row>
    <x:row r="15" ht="20" customHeight="1">
      <x:c r="A15" s="82" t="n">
        <x:v>14</x:v>
      </x:c>
      <x:c r="B15" s="87" t="str">
        <x:v>Shravana H S</x:v>
      </x:c>
      <x:c r="C15" s="87" t="str">
        <x:v>shravanahs97@gmail.com</x:v>
      </x:c>
      <x:c r="D15" s="89" t="n">
        <x:v>46</x:v>
      </x:c>
      <x:c r="E15" s="89" t="n">
        <x:v>18</x:v>
      </x:c>
      <x:c r="F15" s="89" t="n">
        <x:v>19</x:v>
      </x:c>
      <x:c r="G15" s="84" t="n">
        <x:v>7.33</x:v>
      </x:c>
      <x:c r="H15" s="89" t="n">
        <x:v>10</x:v>
      </x:c>
      <x:c r="I15" s="84" t="n">
        <x:f>SUM(D15:H15)</x:f>
        <x:v>100.33</x:v>
      </x:c>
      <x:c r="J15" s="91" t="n">
        <x:f>I15/115</x:f>
        <x:v>0.8724347826086957</x:v>
      </x:c>
    </x:row>
    <x:row r="16" ht="20" customHeight="1">
      <x:c r="A16" s="78" t="n">
        <x:v>15</x:v>
      </x:c>
      <x:c r="B16" s="86" t="str">
        <x:v>Manideep Emmadi</x:v>
      </x:c>
      <x:c r="C16" s="86" t="str">
        <x:v>emmadimani786@gmail.com</x:v>
      </x:c>
      <x:c r="D16" s="88" t="n">
        <x:v>43</x:v>
      </x:c>
      <x:c r="E16" s="88" t="n">
        <x:v>18</x:v>
      </x:c>
      <x:c r="F16" s="88" t="n">
        <x:v>16</x:v>
      </x:c>
      <x:c r="G16" s="80" t="n">
        <x:v>13.33</x:v>
      </x:c>
      <x:c r="H16" s="88" t="n">
        <x:v>9</x:v>
      </x:c>
      <x:c r="I16" s="80" t="n">
        <x:f>SUM(D16:H16)</x:f>
        <x:v>99.33</x:v>
      </x:c>
      <x:c r="J16" s="91" t="n">
        <x:f>I16/115</x:f>
        <x:v>0.8637391304347826</x:v>
      </x:c>
    </x:row>
    <x:row r="17" ht="20" customHeight="1">
      <x:c r="A17" s="82" t="n">
        <x:v>16</x:v>
      </x:c>
      <x:c r="B17" s="87" t="str">
        <x:v>VENKATA PRANAY CHIMALADINNE</x:v>
      </x:c>
      <x:c r="C17" s="87" t="str">
        <x:v>vetriram539@gmail.com</x:v>
      </x:c>
      <x:c r="D17" s="89" t="n">
        <x:v>46</x:v>
      </x:c>
      <x:c r="E17" s="89" t="n">
        <x:v>19</x:v>
      </x:c>
      <x:c r="F17" s="89" t="n">
        <x:v>20</x:v>
      </x:c>
      <x:c r="G17" s="84" t="n">
        <x:v>14</x:v>
      </x:c>
      <x:c r="H17" s="89" t="n">
        <x:v>9</x:v>
      </x:c>
      <x:c r="I17" s="84" t="n">
        <x:f>SUM(D17:H17)</x:f>
        <x:v>108</x:v>
      </x:c>
      <x:c r="J17" s="92" t="n">
        <x:f>I17/115</x:f>
        <x:v>0.9391304347826087</x:v>
      </x:c>
    </x:row>
    <x:row r="18" ht="20" customHeight="1">
      <x:c r="A18" s="78" t="n">
        <x:v>17</x:v>
      </x:c>
      <x:c r="B18" s="86" t="str">
        <x:v>HIMANSHU PAL</x:v>
      </x:c>
      <x:c r="C18" s="86" t="str">
        <x:v>himanshupal66y@gmail.com</x:v>
      </x:c>
      <x:c r="D18" s="88" t="n">
        <x:v>24</x:v>
      </x:c>
      <x:c r="E18" s="88" t="n">
        <x:v>17</x:v>
      </x:c>
      <x:c r="F18" s="88" t="n">
        <x:v>11</x:v>
      </x:c>
      <x:c r="G18" s="80" t="n">
        <x:v>8.33</x:v>
      </x:c>
      <x:c r="H18" s="88" t="n">
        <x:v>10</x:v>
      </x:c>
      <x:c r="I18" s="80" t="n">
        <x:f>SUM(D18:H18)</x:f>
        <x:v>70.33</x:v>
      </x:c>
      <x:c r="J18" s="93" t="n">
        <x:f>I18/115</x:f>
        <x:v>0.6115652173913043</x:v>
      </x:c>
    </x:row>
    <x:row r="19" ht="20" customHeight="1">
      <x:c r="A19" s="82" t="n">
        <x:v>18</x:v>
      </x:c>
      <x:c r="B19" s="87" t="str">
        <x:v>Sudheer Babu Karanki</x:v>
      </x:c>
      <x:c r="C19" s="87" t="str">
        <x:v>karankisudheer1993@gmail.com</x:v>
      </x:c>
      <x:c r="D19" s="89" t="n">
        <x:v>41</x:v>
      </x:c>
      <x:c r="E19" s="89" t="n">
        <x:v>15</x:v>
      </x:c>
      <x:c r="F19" s="89" t="n">
        <x:v>10</x:v>
      </x:c>
      <x:c r="G19" s="84" t="n">
        <x:v>9.33</x:v>
      </x:c>
      <x:c r="H19" s="89" t="n">
        <x:v>9</x:v>
      </x:c>
      <x:c r="I19" s="84" t="n">
        <x:f>SUM(D19:H19)</x:f>
        <x:v>84.33</x:v>
      </x:c>
      <x:c r="J19" s="93" t="n">
        <x:f>I19/115</x:f>
        <x:v>0.7333043478260869</x:v>
      </x:c>
    </x:row>
    <x:row r="20" ht="20" customHeight="1">
      <x:c r="A20" s="78" t="n">
        <x:v>19</x:v>
      </x:c>
      <x:c r="B20" s="86" t="str">
        <x:v>Divya Boya</x:v>
      </x:c>
      <x:c r="C20" s="86" t="str">
        <x:v>divya53b@gmail.com</x:v>
      </x:c>
      <x:c r="D20" s="88" t="n">
        <x:v>41</x:v>
      </x:c>
      <x:c r="E20" s="88" t="n">
        <x:v>13</x:v>
      </x:c>
      <x:c r="F20" s="88" t="n">
        <x:v>10</x:v>
      </x:c>
      <x:c r="G20" s="80" t="n">
        <x:v>10</x:v>
      </x:c>
      <x:c r="H20" s="88" t="n">
        <x:v>10</x:v>
      </x:c>
      <x:c r="I20" s="80" t="n">
        <x:f>SUM(D20:H20)</x:f>
        <x:v>84</x:v>
      </x:c>
      <x:c r="J20" s="93" t="n">
        <x:f>I20/115</x:f>
        <x:v>0.7304347826086957</x:v>
      </x:c>
    </x:row>
    <x:row r="21" ht="20" customHeight="1">
      <x:c r="A21" s="82" t="n">
        <x:v>20</x:v>
      </x:c>
      <x:c r="B21" s="87" t="str">
        <x:v>Dedeepya Narayanasetty</x:v>
      </x:c>
      <x:c r="C21" s="87" t="str">
        <x:v>ndedeepya.g2.26.integratedvlsi@gmail.com</x:v>
      </x:c>
      <x:c r="D21" s="89" t="n">
        <x:v>47</x:v>
      </x:c>
      <x:c r="E21" s="89" t="n">
        <x:v>18</x:v>
      </x:c>
      <x:c r="F21" s="89" t="n">
        <x:v>19</x:v>
      </x:c>
      <x:c r="G21" s="84" t="n">
        <x:v>9.67</x:v>
      </x:c>
      <x:c r="H21" s="89" t="n">
        <x:v>10</x:v>
      </x:c>
      <x:c r="I21" s="84" t="n">
        <x:f>SUM(D21:H21)</x:f>
        <x:v>103.67</x:v>
      </x:c>
      <x:c r="J21" s="92" t="n">
        <x:f>I21/115</x:f>
        <x:v>0.9014782608695653</x:v>
      </x:c>
    </x:row>
    <x:row r="22" ht="20" customHeight="1">
      <x:c r="A22" s="78" t="n">
        <x:v>21</x:v>
      </x:c>
      <x:c r="B22" s="86" t="str">
        <x:v>M.Penchala Likhitha</x:v>
      </x:c>
      <x:c r="C22" s="86" t="str">
        <x:v>likhithamathakala@gmail.com</x:v>
      </x:c>
      <x:c r="D22" s="88" t="n">
        <x:v>32</x:v>
      </x:c>
      <x:c r="E22" s="88" t="n">
        <x:v>18</x:v>
      </x:c>
      <x:c r="F22" s="88" t="n">
        <x:v>20</x:v>
      </x:c>
      <x:c r="G22" s="80" t="n">
        <x:v>12</x:v>
      </x:c>
      <x:c r="H22" s="88" t="n">
        <x:v>10</x:v>
      </x:c>
      <x:c r="I22" s="80" t="n">
        <x:f>SUM(D22:H22)</x:f>
        <x:v>92</x:v>
      </x:c>
      <x:c r="J22" s="91" t="n">
        <x:f>I22/115</x:f>
        <x:v>0.8</x:v>
      </x:c>
    </x:row>
    <x:row r="23" ht="20" customHeight="1">
      <x:c r="A23" s="82" t="n">
        <x:v>22</x:v>
      </x:c>
      <x:c r="B23" s="87" t="str">
        <x:v>NAVYA SREE NADIMINTI</x:v>
      </x:c>
      <x:c r="C23" s="87" t="str">
        <x:v>navyasreeg226vlsi@gmail.com</x:v>
      </x:c>
      <x:c r="D23" s="89" t="n">
        <x:v>47</x:v>
      </x:c>
      <x:c r="E23" s="89" t="n">
        <x:v>20</x:v>
      </x:c>
      <x:c r="F23" s="89" t="n">
        <x:v>19</x:v>
      </x:c>
      <x:c r="G23" s="84" t="n">
        <x:v>12</x:v>
      </x:c>
      <x:c r="H23" s="89" t="n">
        <x:v>10</x:v>
      </x:c>
      <x:c r="I23" s="84" t="n">
        <x:f>SUM(D23:H23)</x:f>
        <x:v>108</x:v>
      </x:c>
      <x:c r="J23" s="92" t="n">
        <x:f>I23/115</x:f>
        <x:v>0.9391304347826087</x:v>
      </x:c>
    </x:row>
    <x:row r="24" ht="20" customHeight="1">
      <x:c r="A24" s="78" t="n">
        <x:v>23</x:v>
      </x:c>
      <x:c r="B24" s="86" t="str">
        <x:v>Rekha Mallu</x:v>
      </x:c>
      <x:c r="C24" s="86" t="str">
        <x:v>mrekha.g2.26.vlsi@gmail.com</x:v>
      </x:c>
      <x:c r="D24" s="88" t="n">
        <x:v>40</x:v>
      </x:c>
      <x:c r="E24" s="88" t="n">
        <x:v>15</x:v>
      </x:c>
      <x:c r="F24" s="88" t="n">
        <x:v>16</x:v>
      </x:c>
      <x:c r="G24" s="80" t="n">
        <x:v>15</x:v>
      </x:c>
      <x:c r="H24" s="88" t="n">
        <x:v>10</x:v>
      </x:c>
      <x:c r="I24" s="80" t="n">
        <x:f>SUM(D24:H24)</x:f>
        <x:v>96</x:v>
      </x:c>
      <x:c r="J24" s="91" t="n">
        <x:f>I24/115</x:f>
        <x:v>0.8347826086956521</x:v>
      </x:c>
    </x:row>
    <x:row r="25" ht="20" customHeight="1">
      <x:c r="A25" s="82" t="n">
        <x:v>24</x:v>
      </x:c>
      <x:c r="B25" s="87" t="str">
        <x:v>Chandra Prasad</x:v>
      </x:c>
      <x:c r="C25" s="87" t="str">
        <x:v>chandraprasad.iqoo@gmail.com</x:v>
      </x:c>
      <x:c r="D25" s="89" t="n">
        <x:v>24</x:v>
      </x:c>
      <x:c r="E25" s="89" t="n">
        <x:v>15</x:v>
      </x:c>
      <x:c r="F25" s="89" t="n">
        <x:v>13</x:v>
      </x:c>
      <x:c r="G25" s="84" t="n">
        <x:v>12</x:v>
      </x:c>
      <x:c r="H25" s="89" t="n">
        <x:v>10</x:v>
      </x:c>
      <x:c r="I25" s="84" t="n">
        <x:f>SUM(D25:H25)</x:f>
        <x:v>74</x:v>
      </x:c>
      <x:c r="J25" s="93" t="n">
        <x:f>I25/115</x:f>
        <x:v>0.6434782608695652</x:v>
      </x:c>
    </x:row>
    <x:row r="26" ht="20" customHeight="1">
      <x:c r="A26" s="78" t="n">
        <x:v>25</x:v>
      </x:c>
      <x:c r="B26" s="86" t="str">
        <x:v>Shashi Kumar Kankanala</x:v>
      </x:c>
      <x:c r="C26" s="86" t="str">
        <x:v>shashikankanala23vlsi@gmail.com</x:v>
      </x:c>
      <x:c r="D26" s="88" t="n">
        <x:v>47</x:v>
      </x:c>
      <x:c r="E26" s="88" t="n">
        <x:v>20</x:v>
      </x:c>
      <x:c r="F26" s="88" t="n">
        <x:v>19</x:v>
      </x:c>
      <x:c r="G26" s="80" t="n">
        <x:v>13</x:v>
      </x:c>
      <x:c r="H26" s="88" t="n">
        <x:v>10</x:v>
      </x:c>
      <x:c r="I26" s="80" t="n">
        <x:f>SUM(D26:H26)</x:f>
        <x:v>109</x:v>
      </x:c>
      <x:c r="J26" s="92" t="n">
        <x:f>I26/115</x:f>
        <x:v>0.9478260869565217</x:v>
      </x:c>
    </x:row>
    <x:row r="27" ht="20" customHeight="1">
      <x:c r="A27" s="82" t="n">
        <x:v>26</x:v>
      </x:c>
      <x:c r="B27" s="87" t="str">
        <x:v>Sandupatla Anu Reddy</x:v>
      </x:c>
      <x:c r="C27" s="87" t="str">
        <x:v>anureddysandupatla@gmail.com</x:v>
      </x:c>
      <x:c r="D27" s="89" t="n">
        <x:v>33</x:v>
      </x:c>
      <x:c r="E27" s="89" t="n">
        <x:v>14</x:v>
      </x:c>
      <x:c r="F27" s="89" t="n">
        <x:v>10</x:v>
      </x:c>
      <x:c r="G27" s="84" t="n">
        <x:v>12</x:v>
      </x:c>
      <x:c r="H27" s="89" t="n">
        <x:v>9</x:v>
      </x:c>
      <x:c r="I27" s="84" t="n">
        <x:f>SUM(D27:H27)</x:f>
        <x:v>78</x:v>
      </x:c>
      <x:c r="J27" s="93" t="n">
        <x:f>I27/115</x:f>
        <x:v>0.6782608695652174</x:v>
      </x:c>
    </x:row>
    <x:row r="28" ht="20" customHeight="1">
      <x:c r="A28" s="78" t="n">
        <x:v>27</x:v>
      </x:c>
      <x:c r="B28" s="86" t="str">
        <x:v>Seru Mukesh Roy</x:v>
      </x:c>
      <x:c r="C28" s="86" t="str">
        <x:v>serumukeshroy@gmail.com</x:v>
      </x:c>
      <x:c r="D28" s="88" t="n">
        <x:v>42</x:v>
      </x:c>
      <x:c r="E28" s="88" t="n">
        <x:v>17</x:v>
      </x:c>
      <x:c r="F28" s="88" t="n">
        <x:v>18</x:v>
      </x:c>
      <x:c r="G28" s="80" t="n">
        <x:v>10.33</x:v>
      </x:c>
      <x:c r="H28" s="88" t="n">
        <x:v>7</x:v>
      </x:c>
      <x:c r="I28" s="80" t="n">
        <x:f>SUM(D28:H28)</x:f>
        <x:v>94.33</x:v>
      </x:c>
      <x:c r="J28" s="91" t="n">
        <x:f>I28/115</x:f>
        <x:v>0.8202608695652174</x:v>
      </x:c>
    </x:row>
  </x:sheetData>
  <x:pageMargins left="0.7" right="0.7" top="0.75" bottom="0.75" header="0.3" footer="0.3"/>
</x:worksheet>
</file>